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105" windowWidth="14805" windowHeight="8460" tabRatio="670"/>
  </bookViews>
  <sheets>
    <sheet name="统计" sheetId="1" r:id="rId1"/>
    <sheet name="股票分析模板" sheetId="2" r:id="rId2"/>
    <sheet name="涪陵榨菜002507" sheetId="3" r:id="rId3"/>
    <sheet name="大华股份002236" sheetId="4" r:id="rId4"/>
    <sheet name="宁波银行002142" sheetId="5" r:id="rId5"/>
    <sheet name="分众传媒002027" sheetId="6" r:id="rId6"/>
    <sheet name="计划" sheetId="7" r:id="rId7"/>
    <sheet name="华宝油气网格" sheetId="8" r:id="rId8"/>
    <sheet name="Sheet2" sheetId="9" r:id="rId9"/>
    <sheet name="Sheet1" sheetId="10" r:id="rId10"/>
  </sheets>
  <functionGroups builtInGroupCount="17"/>
  <calcPr calcId="144525"/>
</workbook>
</file>

<file path=xl/calcChain.xml><?xml version="1.0" encoding="utf-8"?>
<calcChain xmlns="http://schemas.openxmlformats.org/spreadsheetml/2006/main">
  <c r="F4" i="8" l="1"/>
  <c r="I4" i="8" s="1"/>
  <c r="E4" i="8"/>
  <c r="E5" i="8" s="1"/>
  <c r="D4" i="8"/>
  <c r="J3" i="8"/>
  <c r="J4" i="8" s="1"/>
  <c r="G3" i="8"/>
  <c r="F3" i="8"/>
  <c r="I3" i="8" s="1"/>
  <c r="A40" i="1"/>
  <c r="A39" i="1"/>
  <c r="A37" i="1"/>
  <c r="A38" i="1"/>
  <c r="A34" i="1"/>
  <c r="A35" i="1"/>
  <c r="A36" i="1"/>
  <c r="A31" i="1"/>
  <c r="A32" i="1"/>
  <c r="A30" i="1"/>
  <c r="A33" i="1"/>
  <c r="A27" i="1"/>
  <c r="A29" i="1"/>
  <c r="A28" i="1"/>
  <c r="A25" i="1"/>
  <c r="A26" i="1"/>
  <c r="A24" i="1"/>
  <c r="A22" i="1"/>
  <c r="A23" i="1"/>
  <c r="A21" i="1"/>
  <c r="A20" i="1"/>
  <c r="A19" i="1"/>
  <c r="A17" i="1"/>
  <c r="A18" i="1"/>
  <c r="A16" i="1"/>
  <c r="A15" i="1"/>
  <c r="A14" i="1"/>
  <c r="A13" i="1"/>
  <c r="A12" i="1"/>
  <c r="A11" i="1"/>
  <c r="A9" i="1"/>
  <c r="A10" i="1"/>
  <c r="A8" i="1"/>
  <c r="A7" i="1"/>
  <c r="A6" i="1"/>
  <c r="A5" i="1"/>
  <c r="A4" i="1"/>
  <c r="A3" i="1"/>
  <c r="A2" i="1"/>
  <c r="B6" i="7"/>
  <c r="B2" i="7"/>
  <c r="B4" i="7"/>
  <c r="B7" i="7"/>
  <c r="B3" i="7"/>
  <c r="B5" i="7"/>
  <c r="C37" i="1"/>
  <c r="C33" i="1"/>
  <c r="C23" i="1"/>
  <c r="C14" i="1"/>
  <c r="C6" i="1"/>
  <c r="C3" i="1"/>
  <c r="C28" i="1"/>
  <c r="K34" i="1"/>
  <c r="K39" i="1"/>
  <c r="K30" i="1"/>
  <c r="K22" i="1"/>
  <c r="C15" i="1"/>
  <c r="C7" i="1"/>
  <c r="C27" i="1"/>
  <c r="K18" i="1"/>
  <c r="K5" i="1"/>
  <c r="K33" i="1"/>
  <c r="C21" i="1"/>
  <c r="C13" i="1"/>
  <c r="K6" i="1"/>
  <c r="L16" i="1"/>
  <c r="L4" i="1"/>
  <c r="L39" i="1"/>
  <c r="C34" i="1"/>
  <c r="C29" i="1"/>
  <c r="K19" i="1"/>
  <c r="K11" i="1"/>
  <c r="K3" i="1"/>
  <c r="C22" i="1"/>
  <c r="K24" i="1"/>
  <c r="K38" i="1"/>
  <c r="K27" i="1"/>
  <c r="K20" i="1"/>
  <c r="K12" i="1"/>
  <c r="C39" i="1"/>
  <c r="C26" i="1"/>
  <c r="C16" i="1"/>
  <c r="C4" i="1"/>
  <c r="K29" i="1"/>
  <c r="K17" i="1"/>
  <c r="C10" i="1"/>
  <c r="L28" i="1"/>
  <c r="L14" i="1"/>
  <c r="L9" i="1"/>
  <c r="C36" i="1"/>
  <c r="C25" i="1"/>
  <c r="C17" i="1"/>
  <c r="C9" i="1"/>
  <c r="C2" i="1"/>
  <c r="C35" i="1"/>
  <c r="K10" i="1"/>
  <c r="K40" i="1"/>
  <c r="K9" i="1"/>
  <c r="K35" i="1"/>
  <c r="K28" i="1"/>
  <c r="C19" i="1"/>
  <c r="C11" i="1"/>
  <c r="C38" i="1"/>
  <c r="K21" i="1"/>
  <c r="K13" i="1"/>
  <c r="K36" i="1"/>
  <c r="K25" i="1"/>
  <c r="C18" i="1"/>
  <c r="K2" i="1"/>
  <c r="L18" i="1"/>
  <c r="L10" i="1"/>
  <c r="L27" i="1"/>
  <c r="L13" i="1"/>
  <c r="C40" i="1"/>
  <c r="C32" i="1"/>
  <c r="C24" i="1"/>
  <c r="K15" i="1"/>
  <c r="K7" i="1"/>
  <c r="K4" i="1"/>
  <c r="C30" i="1"/>
  <c r="C8" i="1"/>
  <c r="K37" i="1"/>
  <c r="K31" i="1"/>
  <c r="K26" i="1"/>
  <c r="K16" i="1"/>
  <c r="K8" i="1"/>
  <c r="C31" i="1"/>
  <c r="C20" i="1"/>
  <c r="C12" i="1"/>
  <c r="K32" i="1"/>
  <c r="K23" i="1"/>
  <c r="K14" i="1"/>
  <c r="C5" i="1"/>
  <c r="L23" i="1"/>
  <c r="L31" i="1"/>
  <c r="L7" i="1"/>
  <c r="L22" i="1"/>
  <c r="L3" i="8"/>
  <c r="P7" i="1" l="1"/>
  <c r="O7" i="1"/>
  <c r="M14" i="1"/>
  <c r="M23" i="1"/>
  <c r="P9" i="1"/>
  <c r="O9" i="1"/>
  <c r="M13" i="1"/>
  <c r="M18" i="1"/>
  <c r="P23" i="1"/>
  <c r="P10" i="1"/>
  <c r="O10" i="1"/>
  <c r="P13" i="1"/>
  <c r="O13" i="1"/>
  <c r="M16" i="1"/>
  <c r="P18" i="1"/>
  <c r="O18" i="1"/>
  <c r="M22" i="1"/>
  <c r="M28" i="1"/>
  <c r="M27" i="1"/>
  <c r="M31" i="1"/>
  <c r="M39" i="1"/>
  <c r="M9" i="1"/>
  <c r="M10" i="1"/>
  <c r="P14" i="1"/>
  <c r="O14" i="1"/>
  <c r="M4" i="1"/>
  <c r="P4" i="1"/>
  <c r="O4" i="1"/>
  <c r="M7" i="1"/>
  <c r="P16" i="1"/>
  <c r="O16" i="1"/>
  <c r="P22" i="1"/>
  <c r="P28" i="1"/>
  <c r="P27" i="1"/>
  <c r="P31" i="1"/>
  <c r="P39" i="1"/>
  <c r="E6" i="8"/>
  <c r="G5" i="8"/>
  <c r="O23" i="1"/>
  <c r="O22" i="1"/>
  <c r="O28" i="1"/>
  <c r="O27" i="1"/>
  <c r="O31" i="1"/>
  <c r="O39" i="1"/>
  <c r="G4" i="8"/>
  <c r="D5" i="8"/>
  <c r="J5" i="8" s="1"/>
  <c r="H3" i="8"/>
  <c r="H4" i="8"/>
  <c r="L6" i="1"/>
  <c r="L35" i="1"/>
  <c r="L2" i="1"/>
  <c r="L32" i="1"/>
  <c r="L30" i="1"/>
  <c r="N23" i="1"/>
  <c r="N4" i="1"/>
  <c r="L37" i="1"/>
  <c r="N13" i="1"/>
  <c r="N28" i="1"/>
  <c r="L17" i="1"/>
  <c r="N22" i="1"/>
  <c r="L11" i="1"/>
  <c r="L3" i="1"/>
  <c r="L25" i="1"/>
  <c r="L12" i="1"/>
  <c r="N39" i="1"/>
  <c r="L24" i="1"/>
  <c r="L29" i="1"/>
  <c r="L34" i="1"/>
  <c r="L40" i="1"/>
  <c r="L36" i="1"/>
  <c r="L33" i="1"/>
  <c r="L15" i="1"/>
  <c r="N18" i="1"/>
  <c r="L21" i="1"/>
  <c r="L38" i="1"/>
  <c r="L5" i="1"/>
  <c r="L19" i="1"/>
  <c r="L26" i="1"/>
  <c r="N2" i="1"/>
  <c r="L20" i="1"/>
  <c r="L8" i="1"/>
  <c r="N17" i="1"/>
  <c r="N33" i="1"/>
  <c r="N29" i="1"/>
  <c r="N27" i="1"/>
  <c r="N26" i="1"/>
  <c r="N6" i="1"/>
  <c r="N7" i="1"/>
  <c r="N14" i="1"/>
  <c r="N9" i="1"/>
  <c r="N31" i="1"/>
  <c r="N32" i="1"/>
  <c r="N10" i="1"/>
  <c r="N40" i="1"/>
  <c r="N16" i="1"/>
  <c r="N8" i="1"/>
  <c r="N25" i="1"/>
  <c r="N37" i="1"/>
  <c r="N3" i="1"/>
  <c r="N36" i="1"/>
  <c r="N15" i="1"/>
  <c r="N5" i="1"/>
  <c r="N20" i="1"/>
  <c r="M8" i="1" l="1"/>
  <c r="P8" i="1"/>
  <c r="O8" i="1"/>
  <c r="O20" i="1"/>
  <c r="M20" i="1"/>
  <c r="P20" i="1"/>
  <c r="M26" i="1"/>
  <c r="P26" i="1"/>
  <c r="O26" i="1"/>
  <c r="P19" i="1"/>
  <c r="M19" i="1"/>
  <c r="O19" i="1"/>
  <c r="M5" i="1"/>
  <c r="P5" i="1"/>
  <c r="O5" i="1"/>
  <c r="P38" i="1"/>
  <c r="M38" i="1"/>
  <c r="O38" i="1"/>
  <c r="M21" i="1"/>
  <c r="P21" i="1"/>
  <c r="O21" i="1"/>
  <c r="P15" i="1"/>
  <c r="O15" i="1"/>
  <c r="M15" i="1"/>
  <c r="P33" i="1"/>
  <c r="O33" i="1"/>
  <c r="M33" i="1"/>
  <c r="O36" i="1"/>
  <c r="M36" i="1"/>
  <c r="P36" i="1"/>
  <c r="O40" i="1"/>
  <c r="P40" i="1"/>
  <c r="M40" i="1"/>
  <c r="M34" i="1"/>
  <c r="P34" i="1"/>
  <c r="O34" i="1"/>
  <c r="P29" i="1"/>
  <c r="M29" i="1"/>
  <c r="O29" i="1"/>
  <c r="M24" i="1"/>
  <c r="O24" i="1"/>
  <c r="P24" i="1"/>
  <c r="P12" i="1"/>
  <c r="O12" i="1"/>
  <c r="M12" i="1"/>
  <c r="O25" i="1"/>
  <c r="M25" i="1"/>
  <c r="P25" i="1"/>
  <c r="P3" i="1"/>
  <c r="O3" i="1"/>
  <c r="M3" i="1"/>
  <c r="M11" i="1"/>
  <c r="P11" i="1"/>
  <c r="O11" i="1"/>
  <c r="M17" i="1"/>
  <c r="P17" i="1"/>
  <c r="O17" i="1"/>
  <c r="O37" i="1"/>
  <c r="P37" i="1"/>
  <c r="M37" i="1"/>
  <c r="M30" i="1"/>
  <c r="P30" i="1"/>
  <c r="O30" i="1"/>
  <c r="M32" i="1"/>
  <c r="P32" i="1"/>
  <c r="O32" i="1"/>
  <c r="P2" i="1"/>
  <c r="M2" i="1"/>
  <c r="O2" i="1"/>
  <c r="O35" i="1"/>
  <c r="M35" i="1"/>
  <c r="P35" i="1"/>
  <c r="M6" i="1"/>
  <c r="P6" i="1"/>
  <c r="O6" i="1"/>
  <c r="G6" i="8"/>
  <c r="E7" i="8"/>
  <c r="F5" i="8"/>
  <c r="D6" i="8"/>
  <c r="N19" i="1"/>
  <c r="N11" i="1"/>
  <c r="N35" i="1"/>
  <c r="N24" i="1"/>
  <c r="N12" i="1"/>
  <c r="N30" i="1"/>
  <c r="N38" i="1"/>
  <c r="N21" i="1"/>
  <c r="N34" i="1"/>
  <c r="I5" i="8" l="1"/>
  <c r="H5" i="8"/>
  <c r="E8" i="8"/>
  <c r="G7" i="8"/>
  <c r="D7" i="8"/>
  <c r="F6" i="8"/>
  <c r="J6" i="8"/>
  <c r="J7" i="8" s="1"/>
  <c r="E9" i="8" l="1"/>
  <c r="G8" i="8"/>
  <c r="I6" i="8"/>
  <c r="H6" i="8"/>
  <c r="D8" i="8"/>
  <c r="F7" i="8"/>
  <c r="E10" i="8" l="1"/>
  <c r="G9" i="8"/>
  <c r="H7" i="8"/>
  <c r="I7" i="8"/>
  <c r="D9" i="8"/>
  <c r="F8" i="8"/>
  <c r="J8" i="8"/>
  <c r="J9" i="8" s="1"/>
  <c r="I8" i="8" l="1"/>
  <c r="H8" i="8"/>
  <c r="F9" i="8"/>
  <c r="D10" i="8"/>
  <c r="G10" i="8"/>
  <c r="E11" i="8"/>
  <c r="D11" i="8" l="1"/>
  <c r="F10" i="8"/>
  <c r="E12" i="8"/>
  <c r="G11" i="8"/>
  <c r="I9" i="8"/>
  <c r="H9" i="8"/>
  <c r="J10" i="8"/>
  <c r="J11" i="8" s="1"/>
  <c r="E13" i="8" l="1"/>
  <c r="G12" i="8"/>
  <c r="I10" i="8"/>
  <c r="H10" i="8"/>
  <c r="D12" i="8"/>
  <c r="F11" i="8"/>
  <c r="D13" i="8" l="1"/>
  <c r="F12" i="8"/>
  <c r="H11" i="8"/>
  <c r="I11" i="8"/>
  <c r="J12" i="8"/>
  <c r="J13" i="8" s="1"/>
  <c r="E14" i="8"/>
  <c r="G13" i="8"/>
  <c r="I12" i="8" l="1"/>
  <c r="H12" i="8"/>
  <c r="G14" i="8"/>
  <c r="E15" i="8"/>
  <c r="F13" i="8"/>
  <c r="D14" i="8"/>
  <c r="G15" i="8" l="1"/>
  <c r="E16" i="8"/>
  <c r="I13" i="8"/>
  <c r="H13" i="8"/>
  <c r="D15" i="8"/>
  <c r="F14" i="8"/>
  <c r="J14" i="8"/>
  <c r="J15" i="8" s="1"/>
  <c r="I14" i="8" l="1"/>
  <c r="H14" i="8"/>
  <c r="E17" i="8"/>
  <c r="G16" i="8"/>
  <c r="D16" i="8"/>
  <c r="F15" i="8"/>
  <c r="H15" i="8" l="1"/>
  <c r="I15" i="8"/>
  <c r="L15" i="8"/>
  <c r="D17" i="8"/>
  <c r="F16" i="8"/>
  <c r="E18" i="8"/>
  <c r="G17" i="8"/>
  <c r="J16" i="8"/>
  <c r="J17" i="8" s="1"/>
  <c r="D18" i="8" l="1"/>
  <c r="F17" i="8"/>
  <c r="J18" i="8"/>
  <c r="E19" i="8"/>
  <c r="G19" i="8" s="1"/>
  <c r="G18" i="8"/>
  <c r="H16" i="8"/>
  <c r="I16" i="8"/>
  <c r="I17" i="8" l="1"/>
  <c r="H17" i="8"/>
  <c r="F18" i="8"/>
  <c r="D19" i="8"/>
  <c r="F19" i="8" l="1"/>
  <c r="D20" i="8"/>
  <c r="I18" i="8"/>
  <c r="H18" i="8"/>
  <c r="J19" i="8"/>
  <c r="I19" i="8" l="1"/>
  <c r="H19" i="8"/>
</calcChain>
</file>

<file path=xl/sharedStrings.xml><?xml version="1.0" encoding="utf-8"?>
<sst xmlns="http://schemas.openxmlformats.org/spreadsheetml/2006/main" count="936" uniqueCount="342">
  <si>
    <t>日期</t>
  </si>
  <si>
    <t>代码</t>
  </si>
  <si>
    <t>股名</t>
  </si>
  <si>
    <t>目标PE</t>
  </si>
  <si>
    <t>最低PE</t>
  </si>
  <si>
    <t>20Y净利润（亿）</t>
  </si>
  <si>
    <t>股本(亿)</t>
  </si>
  <si>
    <t xml:space="preserve">目标PB </t>
  </si>
  <si>
    <t>最低PB</t>
  </si>
  <si>
    <t>20Y净资产</t>
  </si>
  <si>
    <t>买入价</t>
  </si>
  <si>
    <t>现价</t>
  </si>
  <si>
    <t>PE年化</t>
  </si>
  <si>
    <t>最低年化(PE)</t>
  </si>
  <si>
    <t>PB年化</t>
  </si>
  <si>
    <t>最低年化(PB)</t>
  </si>
  <si>
    <t>2019-9-30</t>
  </si>
  <si>
    <t>2019-6-30</t>
  </si>
  <si>
    <t>2019-3-31</t>
  </si>
  <si>
    <t>2018-12-31</t>
  </si>
  <si>
    <t>2018-9-30</t>
  </si>
  <si>
    <t>2018-6-30</t>
  </si>
  <si>
    <t>sh600466</t>
  </si>
  <si>
    <t>sh601318</t>
  </si>
  <si>
    <t>sh600056</t>
  </si>
  <si>
    <t>sz000002</t>
  </si>
  <si>
    <t>sh600332</t>
  </si>
  <si>
    <t>sh600585</t>
  </si>
  <si>
    <t>sh601668</t>
  </si>
  <si>
    <t>sz000799</t>
  </si>
  <si>
    <t>sh600048</t>
  </si>
  <si>
    <t>sz002236</t>
  </si>
  <si>
    <t>sh600085</t>
  </si>
  <si>
    <t xml:space="preserve">估值网站：
http://www.dashiyetouzi.com/tools/compare/historical_valuation.php
http://m.gushiyaowan.cn/gz/indexDetail?code=002142&amp;codeType=1
预测利润：
http://basic.10jqka.com.cn/600519/finance.html
</t>
  </si>
  <si>
    <t>sz002508</t>
  </si>
  <si>
    <t>sz300146</t>
  </si>
  <si>
    <t>sz002271</t>
  </si>
  <si>
    <t>sz002507</t>
  </si>
  <si>
    <t>sz002304</t>
  </si>
  <si>
    <t>sh600436</t>
  </si>
  <si>
    <t>sh600660</t>
  </si>
  <si>
    <t>sh601166</t>
  </si>
  <si>
    <t>sh600036</t>
  </si>
  <si>
    <t>sz002415</t>
  </si>
  <si>
    <t>sh600690</t>
  </si>
  <si>
    <t>sh600104</t>
  </si>
  <si>
    <t>sh601888</t>
  </si>
  <si>
    <t>sz000538</t>
  </si>
  <si>
    <t>sz000333</t>
  </si>
  <si>
    <t>sz300015</t>
  </si>
  <si>
    <t>sh600887</t>
  </si>
  <si>
    <t>sh600009</t>
  </si>
  <si>
    <t>sz002142</t>
  </si>
  <si>
    <t>sz000651</t>
  </si>
  <si>
    <t>sh600900</t>
  </si>
  <si>
    <t>sz000858</t>
  </si>
  <si>
    <t>sh600519</t>
  </si>
  <si>
    <t>sh600276</t>
  </si>
  <si>
    <t>sz002027</t>
  </si>
  <si>
    <t>214.39</t>
  </si>
  <si>
    <t>23.03</t>
  </si>
  <si>
    <t>sh603288</t>
  </si>
  <si>
    <t>sz000001</t>
  </si>
  <si>
    <t>sz000895</t>
  </si>
  <si>
    <t>第一部分 行业分析</t>
  </si>
  <si>
    <t>【简单】</t>
  </si>
  <si>
    <t>选择下拉框</t>
  </si>
  <si>
    <t>消费行业：</t>
  </si>
  <si>
    <t>金融类和公用事业行业：</t>
  </si>
  <si>
    <t>【较难】</t>
  </si>
  <si>
    <t>周期性行业：</t>
  </si>
  <si>
    <t>科技类行业：</t>
  </si>
  <si>
    <t>【尽量回避】</t>
  </si>
  <si>
    <t>不可预测以及事件驱动行业：国防军工、商业贸易、轻功制造，农林牧渔（目前个股制作简单，其他做配置）</t>
  </si>
  <si>
    <t>这其中，最好做估值的是消费行业，金融类和公用事业类行业，较难估值的是周期和科技行业，尽量回避那些不可预知的行业。你需要在这部分，把你要进行测算的公司所在的行业写下来，然后对这个行业做简单的分析。</t>
  </si>
  <si>
    <t>1、业务是2C还是2B？</t>
  </si>
  <si>
    <t>2、未来是成长还是萎缩？</t>
  </si>
  <si>
    <t>3、红海还是蓝海？（价格战频繁爆发就是红海）供应商的讨价议价能力？购买者的讨价议价能力？</t>
  </si>
  <si>
    <t>4、新入局者门槛高不高？行业格局是否稳定。潜在竞争者进入的能力？行业内竞争者现在的竞争能力？替代品的替代能力？比如我们之前讲的，游戏公司现在一抓一大把，这个行业门槛太低了，行业格局混乱，很难做到脱颖而出，也没有持续竞争力</t>
  </si>
  <si>
    <t>第二部分 公司估值</t>
  </si>
  <si>
    <t>0、资产负债表分析（先排除公司）</t>
  </si>
  <si>
    <t>3个结构</t>
  </si>
  <si>
    <t>是否放弃</t>
  </si>
  <si>
    <t>资产的结构</t>
  </si>
  <si>
    <t>其中 非流动资产都是变现能力很差的资产。</t>
  </si>
  <si>
    <t>负债的结构</t>
  </si>
  <si>
    <t>非流动负债是一年以上的负债，一般需要支付的利率较多，非流动负债的下降可以减轻公司的利息支出，有利于改善利润表。</t>
  </si>
  <si>
    <t>股东权益的结构</t>
  </si>
  <si>
    <t>我们希望看到的股东权益的增加是来自于股东的真金白银投入和公司盈利能力的增加，卖出控股权其实是一次性的，不能持续下去的。所以这样增加股东权益的方法并不是我们所喜欢的。</t>
  </si>
  <si>
    <t>第一步</t>
  </si>
  <si>
    <t>如果还有金额需要放在“其他XX资产”和“其他XX负债”这4个非常模糊的会计科目里面，得看看里面到底隐藏了什么东西， 从投资的角度，如果没有时间去看财务报表附注，那么这个公司可以暂时先放弃研究</t>
  </si>
  <si>
    <t>第二步</t>
  </si>
  <si>
    <t>经营性现金流一定要是正数，负数放弃</t>
  </si>
  <si>
    <t>投资性现金流可以是负数，表示流出，但是最好比经营性现金流的流入要少一点</t>
  </si>
  <si>
    <t>筹资性现金流中来自于债务的变动和权益的变动最好和历史相互匹配</t>
  </si>
  <si>
    <t>第三步</t>
  </si>
  <si>
    <t>根据现金流判断公司类型</t>
  </si>
  <si>
    <t>妖怪型（经营流入，投资流入，筹资流入）</t>
  </si>
  <si>
    <t>老母鸭型（经营流入，投资流入，筹资流出）</t>
  </si>
  <si>
    <t>疯牛型（经营流入，投资流出，融资也流出）</t>
  </si>
  <si>
    <t>现金奶牛（经营流入，投资流出，融资也流出）</t>
  </si>
  <si>
    <t>其他型（经营流出则不考虑，将企业排除）</t>
  </si>
  <si>
    <t>1、所在的行业以及业务简介</t>
  </si>
  <si>
    <t>A:这家公司是做什么的，能不能一句话说清楚，如果一句话说不清楚的公司，业务模式就是不清晰，至少主营业务不突出。</t>
  </si>
  <si>
    <t>B、这家公司的产品是什么？你用过还是见过？是否有强有力的市场竞争力。</t>
  </si>
  <si>
    <t>2、公司分类</t>
  </si>
  <si>
    <t>六种公司类型：填写公司分类的时候，你就已经开始思考他的估值方法了。</t>
  </si>
  <si>
    <t>a、缓慢增长，重点看股息分红率；</t>
  </si>
  <si>
    <t>b、高速增长，重点看成长爆发力，抓业绩爆发期；</t>
  </si>
  <si>
    <t>c、稳定增长，利润增长率和市盈率的关系，也就是PEG</t>
  </si>
  <si>
    <t>d、周期类，抓行业周期拐点</t>
  </si>
  <si>
    <t>e、困难反转型的，找业务拐点，通常这个很难。普通投资者只能逆向投资，找那些被错杀的公司</t>
  </si>
  <si>
    <t>f、隐藏资产型，这个专业机构都未必能找到，大家还是别费这个力了。不但需要精读报表，还要实地调研。</t>
  </si>
  <si>
    <t>所以我们通常只做，缓慢增长，高速增长，稳定增长和周期类四类股票。</t>
  </si>
  <si>
    <t>3、经营分析</t>
  </si>
  <si>
    <t>大家可以把下面的表格填一下。就在证券软件的F10里面，我个人比较习惯用东方财富。她的报表比较全，大家直接找年度数据就可以了，其实这里面都有（利润按照年报，资产负债按照最新报表来填写）</t>
  </si>
  <si>
    <t>项目\年度</t>
  </si>
  <si>
    <t>2018年</t>
  </si>
  <si>
    <t>2017年</t>
  </si>
  <si>
    <t>2016年</t>
  </si>
  <si>
    <t>2015年</t>
  </si>
  <si>
    <t>2014年</t>
  </si>
  <si>
    <t>2013年</t>
  </si>
  <si>
    <t>备注</t>
  </si>
  <si>
    <t>指标选股</t>
  </si>
  <si>
    <t>现金收入比（大于100%）</t>
  </si>
  <si>
    <t>排除大部分财务造假</t>
  </si>
  <si>
    <t>净资产收益率（五年15%以上）</t>
  </si>
  <si>
    <t>毛利率（老巴40%以上、国内20%以上）</t>
  </si>
  <si>
    <t>净利率（5%以上）</t>
  </si>
  <si>
    <t>人均创收/创利（越大越好）</t>
  </si>
  <si>
    <t>总资产周转率（大于100%）</t>
  </si>
  <si>
    <t>季度收入增长率（连续8个季度超过15%）</t>
  </si>
  <si>
    <t>第一季度</t>
  </si>
  <si>
    <t>第二季度</t>
  </si>
  <si>
    <t>第三季度</t>
  </si>
  <si>
    <t>第四季度</t>
  </si>
  <si>
    <t>商誉</t>
  </si>
  <si>
    <t>商誉净资产比（低于50%，谨慎点低于30%）</t>
  </si>
  <si>
    <t>研发支出占销售收入的比重（10%-30%）</t>
  </si>
  <si>
    <t>自由现金流</t>
  </si>
  <si>
    <t>自由现金流/营业收入（&gt;5%）</t>
  </si>
  <si>
    <t>自由现金流/总市值十长期负债一现金(衡量公司资本产生现金流的状况 现金流收益率)</t>
  </si>
  <si>
    <t>成长性</t>
  </si>
  <si>
    <t>总资产</t>
  </si>
  <si>
    <t>营业收入</t>
  </si>
  <si>
    <t>营业收入同比增长率</t>
  </si>
  <si>
    <t>净利润</t>
  </si>
  <si>
    <t>净利润同比增长率</t>
  </si>
  <si>
    <t>扣非净利润</t>
  </si>
  <si>
    <t>扣非净利润同比增长率</t>
  </si>
  <si>
    <t>还债能力</t>
  </si>
  <si>
    <t>负债</t>
  </si>
  <si>
    <t>资产负债率</t>
  </si>
  <si>
    <t>负债÷总资产</t>
  </si>
  <si>
    <t>流动比率（2左右最佳）</t>
  </si>
  <si>
    <t>流动资产÷流动负债</t>
  </si>
  <si>
    <t>速动比率</t>
  </si>
  <si>
    <t>净有息负债率</t>
  </si>
  <si>
    <t>净有息负债/归属于母公司的所有者权益（净有息负债率如果在50%之内是正常可以接受的； 50%-100%之间表示承担的有息债务越来越重，要开始当心了；超过100%的净有息负债率，可以直接放弃研究。）</t>
  </si>
  <si>
    <t>运营能力</t>
  </si>
  <si>
    <t>应收账款的周转率</t>
  </si>
  <si>
    <t>主营业务收入除以年初和年末应收账款的平均值（应收账款的周转率是越大越好，周转率越大，公司的经营越有效率）</t>
  </si>
  <si>
    <t>应收账款的周转天数</t>
  </si>
  <si>
    <t>应收账款的周转天数是用365除以应收账款的周转率（应收账款的周转天数自然就是越小越好）</t>
  </si>
  <si>
    <t>动态数据</t>
  </si>
  <si>
    <t>最高市盈率</t>
  </si>
  <si>
    <t>最低市盈率</t>
  </si>
  <si>
    <t>PEG（小于1）</t>
  </si>
  <si>
    <t>未来2年市盈率（15倍以内）</t>
  </si>
  <si>
    <t>第三部分 价格分析</t>
  </si>
  <si>
    <t>1、估值分析</t>
  </si>
  <si>
    <t>XXXX属于XXXX型</t>
  </si>
  <si>
    <t>PE=40.89，G=20%，PEG=40.89/20=2.04&gt;1,目前高估，如果PEG=1，PE=20,2017年每股收益为1.31，那么股价为1.31*20=26.2；如果用券商的2018年的预估每个多收益1.58，那么股价为1.58*20=31.6。
另外的一个算法，历史TTM估值，最低PE=28.59，股价为28.59*1.58=45.17，给与一个高于价值20%的开始建仓区域，那么45.17*1.2=54.2。综合来说54.2---31.6---26.2是股价的3个区域，还需要等待</t>
  </si>
  <si>
    <t>选股理由：写下你买入这个股票的核心理由，比如PE&lt;**,股息率&gt;**,公司回购**亿。准备买入等待估值修复**%或业绩增长**%</t>
  </si>
  <si>
    <t>持股周期：根据选股理由，确定做的是短线/中线/长线，确定最长持股时间</t>
  </si>
  <si>
    <t>交易纪律：什么时候买入，止盈止损纪律，加减仓纪律</t>
  </si>
  <si>
    <t>其他判断：比如公司未来一两年增长**%，市场份额扩大到**%，行业竞争格局发生什么改变。</t>
  </si>
  <si>
    <t>记录买卖点</t>
  </si>
  <si>
    <t>最近两个季度增速太低</t>
  </si>
  <si>
    <t>食品饮料</t>
  </si>
  <si>
    <t>不可预测以及事件驱动行业：国防军工、商业贸易、轻功制造，农林牧渔</t>
  </si>
  <si>
    <t>2C</t>
  </si>
  <si>
    <t>2019年</t>
  </si>
  <si>
    <t>3,891.31万</t>
  </si>
  <si>
    <t>6,822.93万</t>
  </si>
  <si>
    <t>3,988.30万</t>
  </si>
  <si>
    <t>7,258.58万</t>
  </si>
  <si>
    <t>1.26亿</t>
  </si>
  <si>
    <t>29.78亿</t>
  </si>
  <si>
    <t>24.84亿</t>
  </si>
  <si>
    <t>19.32亿</t>
  </si>
  <si>
    <t>16.60亿</t>
  </si>
  <si>
    <t>13.72亿</t>
  </si>
  <si>
    <t>19.14亿</t>
  </si>
  <si>
    <t>15.20亿</t>
  </si>
  <si>
    <t>11.21亿</t>
  </si>
  <si>
    <t>9.31亿</t>
  </si>
  <si>
    <t>9.06亿</t>
  </si>
  <si>
    <t>6.62亿</t>
  </si>
  <si>
    <t>4.14亿</t>
  </si>
  <si>
    <t>2.57亿</t>
  </si>
  <si>
    <t>1.57亿</t>
  </si>
  <si>
    <t>1.32亿</t>
  </si>
  <si>
    <t>6.38亿</t>
  </si>
  <si>
    <t>3.93亿</t>
  </si>
  <si>
    <t>2.32亿</t>
  </si>
  <si>
    <t>1.49亿</t>
  </si>
  <si>
    <t>1.22亿</t>
  </si>
  <si>
    <t>5.07亿</t>
  </si>
  <si>
    <t>5.56亿</t>
  </si>
  <si>
    <t>3.66亿</t>
  </si>
  <si>
    <t>2.85亿</t>
  </si>
  <si>
    <t>电子</t>
  </si>
  <si>
    <t>2B</t>
  </si>
  <si>
    <t>成长</t>
  </si>
  <si>
    <t>否</t>
  </si>
  <si>
    <t>疯牛型</t>
  </si>
  <si>
    <t>疯牛型（经营流入，投资流出，融资也流入）</t>
  </si>
  <si>
    <t>稳定增长</t>
  </si>
  <si>
    <t>毛利润（老巴40%以上、国内20%以上）</t>
  </si>
  <si>
    <t>净利润（5%以上）</t>
  </si>
  <si>
    <t>横向对比跟同行对比才有用</t>
  </si>
  <si>
    <t>263.51亿</t>
  </si>
  <si>
    <t>213.33亿</t>
  </si>
  <si>
    <t>153.66亿</t>
  </si>
  <si>
    <t>115.03亿</t>
  </si>
  <si>
    <t>79.90亿</t>
  </si>
  <si>
    <t>60.28亿</t>
  </si>
  <si>
    <t>236.66亿</t>
  </si>
  <si>
    <t>188.44亿</t>
  </si>
  <si>
    <t>133.29亿</t>
  </si>
  <si>
    <t>100.78亿</t>
  </si>
  <si>
    <t>73.32亿</t>
  </si>
  <si>
    <t>54.10亿</t>
  </si>
  <si>
    <t>25.29亿</t>
  </si>
  <si>
    <t>23.79亿</t>
  </si>
  <si>
    <t>18.25亿</t>
  </si>
  <si>
    <t>11.43亿</t>
  </si>
  <si>
    <t>11.31亿</t>
  </si>
  <si>
    <t>24.95亿</t>
  </si>
  <si>
    <t>23.40亿</t>
  </si>
  <si>
    <t>17.19亿</t>
  </si>
  <si>
    <t>13.50亿</t>
  </si>
  <si>
    <t>11.05亿</t>
  </si>
  <si>
    <t>11.15亿</t>
  </si>
  <si>
    <t>速冻比率</t>
  </si>
  <si>
    <t>主要问题在于净利润增长率突然下降太多</t>
  </si>
  <si>
    <t>银行</t>
  </si>
  <si>
    <t>现金奶牛，其他型排除</t>
  </si>
  <si>
    <t>1.12万亿</t>
  </si>
  <si>
    <t>1.09万亿</t>
  </si>
  <si>
    <t>1.08万亿</t>
  </si>
  <si>
    <t>1.07万亿</t>
  </si>
  <si>
    <t>1.03万亿</t>
  </si>
  <si>
    <t>9530.64亿</t>
  </si>
  <si>
    <t>289.30亿</t>
  </si>
  <si>
    <t>253.14亿</t>
  </si>
  <si>
    <t>236.45亿</t>
  </si>
  <si>
    <t>195.16亿</t>
  </si>
  <si>
    <t>153.57亿</t>
  </si>
  <si>
    <t>127.61亿</t>
  </si>
  <si>
    <t>111.86亿</t>
  </si>
  <si>
    <t>93.34亿</t>
  </si>
  <si>
    <t>78.10亿</t>
  </si>
  <si>
    <t>65.44亿</t>
  </si>
  <si>
    <t>56.27亿</t>
  </si>
  <si>
    <t>48.47亿</t>
  </si>
  <si>
    <t>111.37亿</t>
  </si>
  <si>
    <t>93.50亿</t>
  </si>
  <si>
    <t>78.12亿</t>
  </si>
  <si>
    <t>65.07亿</t>
  </si>
  <si>
    <t>56.45亿</t>
  </si>
  <si>
    <t>48.52亿</t>
  </si>
  <si>
    <t>老唐算法：156.04*8.74/2/46.31=14.72,基本达不到，所以选择20%历史PB买入，80%历史PB卖出</t>
  </si>
  <si>
    <t>其中行业要有划分</t>
  </si>
  <si>
    <t>传媒</t>
  </si>
  <si>
    <t>分众做为龙头</t>
  </si>
  <si>
    <t>新潮入局，但是撼动不了分众目前的地位</t>
  </si>
  <si>
    <t>老母鸭型</t>
  </si>
  <si>
    <t>电梯广告</t>
  </si>
  <si>
    <t>到处可见</t>
  </si>
  <si>
    <t>第三季度数据</t>
  </si>
  <si>
    <t>一直是这个比例</t>
  </si>
  <si>
    <t>2018.09.30 22.84亿</t>
  </si>
  <si>
    <t>44.52亿</t>
  </si>
  <si>
    <t>18.05亿</t>
  </si>
  <si>
    <t>负0.519亿</t>
  </si>
  <si>
    <t>155.55亿</t>
  </si>
  <si>
    <t>121.29亿</t>
  </si>
  <si>
    <t>125.02亿</t>
  </si>
  <si>
    <t>88.49亿</t>
  </si>
  <si>
    <t>6.84亿</t>
  </si>
  <si>
    <t>120.14亿</t>
  </si>
  <si>
    <t>102.13亿</t>
  </si>
  <si>
    <t>86.27亿</t>
  </si>
  <si>
    <t>74.97亿</t>
  </si>
  <si>
    <t>14.18亿</t>
  </si>
  <si>
    <t>60.05亿</t>
  </si>
  <si>
    <t>44.51亿</t>
  </si>
  <si>
    <t>33.89亿</t>
  </si>
  <si>
    <t>24.15亿</t>
  </si>
  <si>
    <t>-1.24亿</t>
  </si>
  <si>
    <t>36.32亿</t>
  </si>
  <si>
    <t>30.69亿</t>
  </si>
  <si>
    <t>-106.53万</t>
  </si>
  <si>
    <t>-1.36亿</t>
  </si>
  <si>
    <t>49.97亿</t>
  </si>
  <si>
    <t>39.75亿</t>
  </si>
  <si>
    <t>77.66亿</t>
  </si>
  <si>
    <t>31.56亿</t>
  </si>
  <si>
    <t>1.95亿</t>
  </si>
  <si>
    <t>机构预测2020年10.42</t>
  </si>
  <si>
    <t>20190129，PE=12.04，G=17%，PEG=12.04/17=0.7&gt;1,目前低估，如果PEG=1，PE=17,2017年每股收益为0.49，那么股价为0.49*17=8.33；如果用券商的2018年的预估每个多收益0.44，那么股价为0.44*17=7.46。
另外的一个算法，历史TTM估值，不合适
老唐算法：未来两年的利润预测81.97亿，则81.97*25/2=1024亿，1024/146.78=6.98</t>
  </si>
  <si>
    <t>未来两年2020年的利润预测68.48亿，则68.48*25/2=856亿，856/146.78=5.83</t>
  </si>
  <si>
    <t>类型</t>
  </si>
  <si>
    <t>趋势</t>
  </si>
  <si>
    <t>买入加仓条件</t>
  </si>
  <si>
    <t>卖出减仓条件</t>
  </si>
  <si>
    <t>17.23卖出</t>
  </si>
  <si>
    <t>网格操作</t>
  </si>
  <si>
    <t>分众网格</t>
  </si>
  <si>
    <t>258，60日均线买卖</t>
  </si>
  <si>
    <t>22.62止盈、或80%PB止盈</t>
  </si>
  <si>
    <t>sz002174</t>
  </si>
  <si>
    <t>25卖出</t>
  </si>
  <si>
    <t>sz002197</t>
  </si>
  <si>
    <t>10块钱卖一半</t>
  </si>
  <si>
    <t>华宝油气（162411）小网5% 中网15% 大网30%（0.455~0.72）</t>
  </si>
  <si>
    <t>网格种类</t>
  </si>
  <si>
    <t>卖出价</t>
  </si>
  <si>
    <t>买入金额</t>
  </si>
  <si>
    <t>卖出金额</t>
  </si>
  <si>
    <t>买入数量</t>
  </si>
  <si>
    <t>卖出数量</t>
  </si>
  <si>
    <t>留存数量</t>
  </si>
  <si>
    <t>留存利润</t>
  </si>
  <si>
    <t>一次买入金额</t>
  </si>
  <si>
    <t>递增金额</t>
  </si>
  <si>
    <t>小网</t>
  </si>
  <si>
    <t>中网</t>
  </si>
  <si>
    <t>大网</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</si>
</sst>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宋体"/>
      <family val="2"/>
      <scheme val="minor"/>
    </font>
    <font>
      <sz val="9"/>
      <name val="宋体"/>
      <family val="3"/>
      <charset val="134"/>
      <scheme val="minor"/>
    </font>
    <font>
      <b/>
      <sz val="11"/>
      <color theme="1"/>
      <name val="宋体"/>
      <family val="3"/>
      <charset val="134"/>
      <scheme val="minor"/>
    </font>
    <font>
      <sz val="11"/>
      <color rgb="FFFF0000"/>
      <name val="宋体"/>
      <family val="3"/>
      <charset val="134"/>
      <scheme val="minor"/>
    </font>
    <font>
      <b/>
      <sz val="11"/>
      <color rgb="FF0070C0"/>
      <name val="宋体"/>
      <family val="3"/>
      <charset val="134"/>
      <scheme val="minor"/>
    </font>
    <font>
      <sz val="11"/>
      <color theme="1"/>
      <name val="宋体"/>
      <family val="3"/>
      <charset val="134"/>
      <scheme val="minor"/>
    </font>
    <font>
      <b/>
      <sz val="12"/>
      <color theme="1"/>
      <name val="宋体"/>
      <family val="3"/>
      <charset val="134"/>
      <scheme val="minor"/>
    </font>
    <font>
      <sz val="12"/>
      <color theme="1"/>
      <name val="宋体"/>
      <family val="3"/>
      <charset val="134"/>
      <scheme val="minor"/>
    </font>
    <font>
      <b/>
      <sz val="11"/>
      <color indexed="8"/>
      <name val="宋体"/>
      <family val="3"/>
      <charset val="134"/>
    </font>
    <font>
      <b/>
      <sz val="11"/>
      <color rgb="FF00B0F0"/>
      <name val="宋体"/>
      <family val="3"/>
      <charset val="134"/>
      <scheme val="minor"/>
    </font>
    <font>
      <sz val="9"/>
      <color rgb="FFFFB400"/>
      <name val="Tahoma"/>
      <family val="2"/>
    </font>
    <font>
      <sz val="11"/>
      <color theme="1"/>
      <name val="宋体"/>
      <family val="2"/>
      <scheme val="minor"/>
    </font>
    <font>
      <sz val="11"/>
      <color theme="1"/>
      <name val="宋体"/>
      <charset val="134"/>
      <scheme val="minor"/>
    </font>
    <font>
      <sz val="9"/>
      <color rgb="FF333333"/>
      <name val="Arial"/>
      <family val="2"/>
    </font>
    <font>
      <sz val="9"/>
      <name val="Tahoma"/>
      <family val="2"/>
    </font>
  </fonts>
  <fills count="12">
    <fill>
      <patternFill patternType="none"/>
    </fill>
    <fill>
      <patternFill patternType="gray125"/>
    </fill>
    <fill>
      <patternFill patternType="solid">
        <fgColor rgb="FFFFFF00"/>
        <bgColor indexed="64"/>
      </patternFill>
    </fill>
    <fill>
      <patternFill patternType="solid">
        <fgColor theme="0" tint="-0.34998626667073579"/>
        <bgColor indexed="64"/>
      </patternFill>
    </fill>
    <fill>
      <patternFill patternType="solid">
        <fgColor rgb="FF0B1118"/>
        <bgColor indexed="64"/>
      </patternFill>
    </fill>
    <fill>
      <patternFill patternType="solid">
        <fgColor rgb="FF050707"/>
        <bgColor indexed="64"/>
      </patternFill>
    </fill>
    <fill>
      <patternFill patternType="solid">
        <fgColor theme="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3" tint="0.39997558519241921"/>
        <bgColor indexed="64"/>
      </patternFill>
    </fill>
    <fill>
      <patternFill patternType="solid">
        <fgColor theme="6" tint="-0.249977111117893"/>
        <bgColor indexed="64"/>
      </patternFill>
    </fill>
  </fills>
  <borders count="10">
    <border>
      <left/>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rgb="FF344459"/>
      </left>
      <right style="medium">
        <color rgb="FF344459"/>
      </right>
      <top style="medium">
        <color rgb="FF344459"/>
      </top>
      <bottom style="medium">
        <color rgb="FF344459"/>
      </bottom>
      <diagonal/>
    </border>
    <border>
      <left/>
      <right/>
      <top/>
      <bottom style="thin">
        <color indexed="64"/>
      </bottom>
      <diagonal/>
    </border>
    <border>
      <left/>
      <right style="medium">
        <color rgb="FF344459"/>
      </right>
      <top style="medium">
        <color rgb="FF344459"/>
      </top>
      <bottom style="medium">
        <color rgb="FF344459"/>
      </bottom>
      <diagonal/>
    </border>
    <border>
      <left style="medium">
        <color indexed="64"/>
      </left>
      <right style="medium">
        <color indexed="64"/>
      </right>
      <top/>
      <bottom/>
      <diagonal/>
    </border>
  </borders>
  <cellStyleXfs count="2">
    <xf numFmtId="0" fontId="0" fillId="0" borderId="0"/>
    <xf numFmtId="9" fontId="11" fillId="0" borderId="0">
      <alignment vertical="center"/>
    </xf>
  </cellStyleXfs>
  <cellXfs count="103">
    <xf numFmtId="0" fontId="0" fillId="0" borderId="0" xfId="0"/>
    <xf numFmtId="0" fontId="4" fillId="2" borderId="4" xfId="0" applyFont="1" applyFill="1" applyBorder="1" applyAlignment="1">
      <alignment vertical="center"/>
    </xf>
    <xf numFmtId="0" fontId="4" fillId="2" borderId="2" xfId="0" applyFont="1" applyFill="1" applyBorder="1" applyAlignment="1">
      <alignment vertical="center"/>
    </xf>
    <xf numFmtId="0" fontId="2" fillId="0" borderId="0" xfId="0" applyFont="1" applyAlignment="1">
      <alignment vertical="center"/>
    </xf>
    <xf numFmtId="0" fontId="3" fillId="0" borderId="0" xfId="0" applyFont="1" applyAlignment="1">
      <alignment vertical="center"/>
    </xf>
    <xf numFmtId="0" fontId="4" fillId="2" borderId="0" xfId="0" applyFont="1" applyFill="1" applyAlignment="1">
      <alignment vertical="center"/>
    </xf>
    <xf numFmtId="0" fontId="6" fillId="3" borderId="4" xfId="0" applyFont="1" applyFill="1" applyBorder="1" applyAlignment="1">
      <alignment vertical="center"/>
    </xf>
    <xf numFmtId="0" fontId="7" fillId="3" borderId="4" xfId="0" applyFont="1" applyFill="1" applyBorder="1" applyAlignment="1">
      <alignment vertical="center"/>
    </xf>
    <xf numFmtId="0" fontId="0" fillId="3" borderId="4" xfId="0" applyFill="1" applyBorder="1" applyAlignment="1">
      <alignment vertical="center"/>
    </xf>
    <xf numFmtId="0" fontId="2" fillId="0" borderId="4" xfId="0" applyFont="1" applyBorder="1" applyAlignment="1">
      <alignment vertical="center" wrapText="1"/>
    </xf>
    <xf numFmtId="0" fontId="0" fillId="0" borderId="4" xfId="0" applyBorder="1" applyAlignment="1">
      <alignment vertical="center"/>
    </xf>
    <xf numFmtId="10" fontId="0" fillId="0" borderId="4" xfId="0" applyNumberFormat="1" applyBorder="1" applyAlignment="1">
      <alignment vertical="center"/>
    </xf>
    <xf numFmtId="9" fontId="0" fillId="0" borderId="4" xfId="0" applyNumberFormat="1" applyBorder="1" applyAlignment="1">
      <alignment vertical="center"/>
    </xf>
    <xf numFmtId="0" fontId="9" fillId="0" borderId="0" xfId="0" applyFont="1" applyAlignment="1">
      <alignment vertical="center"/>
    </xf>
    <xf numFmtId="0" fontId="5" fillId="0" borderId="0" xfId="0" applyFont="1" applyAlignment="1">
      <alignment vertical="center"/>
    </xf>
    <xf numFmtId="0" fontId="0" fillId="0" borderId="2" xfId="0" applyBorder="1" applyAlignment="1">
      <alignment horizontal="center" vertical="center"/>
    </xf>
    <xf numFmtId="0" fontId="0" fillId="2" borderId="0" xfId="0" applyFill="1" applyAlignment="1">
      <alignment vertical="center"/>
    </xf>
    <xf numFmtId="10" fontId="10" fillId="4" borderId="6" xfId="0" applyNumberFormat="1" applyFont="1" applyFill="1" applyBorder="1" applyAlignment="1">
      <alignment horizontal="right" vertical="center" wrapText="1"/>
    </xf>
    <xf numFmtId="10" fontId="10" fillId="5" borderId="6" xfId="0" applyNumberFormat="1" applyFont="1" applyFill="1" applyBorder="1" applyAlignment="1">
      <alignment horizontal="right" vertical="center" wrapText="1"/>
    </xf>
    <xf numFmtId="0" fontId="10" fillId="5" borderId="6" xfId="0" applyFont="1" applyFill="1" applyBorder="1" applyAlignment="1">
      <alignment horizontal="right" vertical="center" wrapText="1"/>
    </xf>
    <xf numFmtId="0" fontId="8" fillId="0" borderId="4" xfId="0" applyFont="1" applyBorder="1" applyAlignment="1">
      <alignment vertical="center" wrapText="1"/>
    </xf>
    <xf numFmtId="10" fontId="10" fillId="0" borderId="4" xfId="0" applyNumberFormat="1" applyFont="1" applyBorder="1"/>
    <xf numFmtId="0" fontId="10" fillId="4" borderId="6" xfId="0" applyFont="1" applyFill="1" applyBorder="1" applyAlignment="1">
      <alignment horizontal="right" vertical="center" wrapText="1"/>
    </xf>
    <xf numFmtId="0" fontId="0" fillId="0" borderId="0" xfId="0" quotePrefix="1" applyAlignment="1">
      <alignment vertical="center"/>
    </xf>
    <xf numFmtId="0" fontId="0" fillId="0" borderId="0" xfId="0" applyAlignment="1">
      <alignment vertical="center"/>
    </xf>
    <xf numFmtId="2" fontId="0" fillId="0" borderId="0" xfId="0" applyNumberFormat="1"/>
    <xf numFmtId="0" fontId="0" fillId="0" borderId="0" xfId="0" quotePrefix="1"/>
    <xf numFmtId="10" fontId="0" fillId="0" borderId="0" xfId="1" applyNumberFormat="1" applyFont="1" applyAlignment="1"/>
    <xf numFmtId="0" fontId="0" fillId="7" borderId="0" xfId="0" applyFill="1" applyAlignment="1">
      <alignment vertical="center"/>
    </xf>
    <xf numFmtId="10" fontId="0" fillId="0" borderId="0" xfId="0" applyNumberFormat="1"/>
    <xf numFmtId="9" fontId="0" fillId="0" borderId="0" xfId="0" applyNumberFormat="1"/>
    <xf numFmtId="0" fontId="0" fillId="8" borderId="4" xfId="0" applyFill="1" applyBorder="1"/>
    <xf numFmtId="1" fontId="0" fillId="8" borderId="4" xfId="0" applyNumberFormat="1" applyFill="1" applyBorder="1"/>
    <xf numFmtId="2" fontId="0" fillId="8" borderId="4" xfId="0" applyNumberFormat="1" applyFill="1" applyBorder="1"/>
    <xf numFmtId="0" fontId="0" fillId="9" borderId="4" xfId="0" applyFill="1" applyBorder="1" applyAlignment="1">
      <alignment horizontal="center" vertical="center"/>
    </xf>
    <xf numFmtId="0" fontId="0" fillId="9" borderId="4" xfId="0" applyFill="1" applyBorder="1"/>
    <xf numFmtId="1" fontId="0" fillId="9" borderId="4" xfId="0" applyNumberFormat="1" applyFill="1" applyBorder="1"/>
    <xf numFmtId="2" fontId="0" fillId="9" borderId="4" xfId="0" applyNumberFormat="1" applyFill="1" applyBorder="1"/>
    <xf numFmtId="0" fontId="0" fillId="10" borderId="4" xfId="0" applyFill="1" applyBorder="1" applyAlignment="1">
      <alignment horizontal="center" vertical="center"/>
    </xf>
    <xf numFmtId="0" fontId="0" fillId="10" borderId="4" xfId="0" applyFill="1" applyBorder="1"/>
    <xf numFmtId="1" fontId="0" fillId="10" borderId="4" xfId="0" applyNumberFormat="1" applyFill="1" applyBorder="1"/>
    <xf numFmtId="2" fontId="0" fillId="10" borderId="4" xfId="0" applyNumberFormat="1" applyFill="1" applyBorder="1"/>
    <xf numFmtId="1" fontId="0" fillId="0" borderId="0" xfId="0" applyNumberFormat="1"/>
    <xf numFmtId="9" fontId="0" fillId="0" borderId="4" xfId="1" applyFont="1" applyBorder="1" applyAlignment="1">
      <alignment vertical="center"/>
    </xf>
    <xf numFmtId="10" fontId="0" fillId="0" borderId="4" xfId="1" applyNumberFormat="1" applyFont="1" applyBorder="1" applyAlignment="1">
      <alignment vertical="center"/>
    </xf>
    <xf numFmtId="0" fontId="13" fillId="0" borderId="0" xfId="0" applyFont="1"/>
    <xf numFmtId="0" fontId="4" fillId="2" borderId="4" xfId="0" applyFont="1" applyFill="1" applyBorder="1" applyAlignment="1">
      <alignment vertical="center" wrapText="1"/>
    </xf>
    <xf numFmtId="0" fontId="4" fillId="2" borderId="2" xfId="0" applyFont="1" applyFill="1" applyBorder="1" applyAlignment="1">
      <alignment vertical="center" wrapText="1"/>
    </xf>
    <xf numFmtId="0" fontId="2" fillId="0" borderId="0" xfId="0" applyFont="1" applyAlignment="1">
      <alignment vertical="center" wrapText="1"/>
    </xf>
    <xf numFmtId="0" fontId="6" fillId="3" borderId="4" xfId="0" applyFont="1" applyFill="1" applyBorder="1" applyAlignment="1">
      <alignment vertical="center" wrapText="1"/>
    </xf>
    <xf numFmtId="0" fontId="7" fillId="3" borderId="4" xfId="0" applyFont="1" applyFill="1" applyBorder="1" applyAlignment="1">
      <alignment vertical="center" wrapText="1"/>
    </xf>
    <xf numFmtId="0" fontId="0" fillId="3" borderId="4" xfId="0" applyFill="1" applyBorder="1" applyAlignment="1">
      <alignment vertical="center" wrapText="1"/>
    </xf>
    <xf numFmtId="0" fontId="0" fillId="0" borderId="4" xfId="0" applyBorder="1" applyAlignment="1">
      <alignment vertical="center" wrapText="1"/>
    </xf>
    <xf numFmtId="0" fontId="0" fillId="0" borderId="2" xfId="0" applyBorder="1" applyAlignment="1">
      <alignment horizontal="center" vertical="center" wrapText="1"/>
    </xf>
    <xf numFmtId="0" fontId="9" fillId="0" borderId="0" xfId="0" applyFont="1" applyAlignment="1">
      <alignment vertical="center" wrapText="1"/>
    </xf>
    <xf numFmtId="0" fontId="0" fillId="2" borderId="4" xfId="0" applyFill="1" applyBorder="1" applyAlignment="1">
      <alignment vertical="center" wrapText="1"/>
    </xf>
    <xf numFmtId="10" fontId="10" fillId="7" borderId="6" xfId="0" applyNumberFormat="1" applyFont="1" applyFill="1" applyBorder="1" applyAlignment="1">
      <alignment horizontal="right" vertical="center" wrapText="1"/>
    </xf>
    <xf numFmtId="10" fontId="10" fillId="11" borderId="6" xfId="0" applyNumberFormat="1" applyFont="1" applyFill="1" applyBorder="1" applyAlignment="1">
      <alignment horizontal="right" vertical="center" wrapText="1"/>
    </xf>
    <xf numFmtId="14" fontId="0" fillId="0" borderId="0" xfId="0" applyNumberFormat="1" applyAlignment="1">
      <alignment vertical="center"/>
    </xf>
    <xf numFmtId="10" fontId="10" fillId="6" borderId="6" xfId="0" applyNumberFormat="1" applyFont="1" applyFill="1" applyBorder="1" applyAlignment="1">
      <alignment horizontal="right" vertical="center" wrapText="1"/>
    </xf>
    <xf numFmtId="10" fontId="14" fillId="6" borderId="6" xfId="0" applyNumberFormat="1" applyFont="1" applyFill="1" applyBorder="1" applyAlignment="1">
      <alignment horizontal="right" vertical="center" wrapText="1"/>
    </xf>
    <xf numFmtId="10" fontId="5" fillId="0" borderId="0" xfId="1" applyNumberFormat="1" applyFont="1" applyAlignment="1"/>
    <xf numFmtId="0" fontId="2" fillId="0" borderId="2" xfId="0" applyFont="1" applyBorder="1" applyAlignment="1">
      <alignment horizontal="center" vertical="center" wrapText="1"/>
    </xf>
    <xf numFmtId="10" fontId="14" fillId="7" borderId="6" xfId="0" applyNumberFormat="1" applyFont="1" applyFill="1" applyBorder="1" applyAlignment="1">
      <alignment horizontal="right" vertical="center" wrapText="1"/>
    </xf>
    <xf numFmtId="10" fontId="12" fillId="0" borderId="0" xfId="1" applyNumberFormat="1" applyFont="1" applyAlignment="1"/>
    <xf numFmtId="0" fontId="0" fillId="0" borderId="0" xfId="0"/>
    <xf numFmtId="0" fontId="0" fillId="0" borderId="0" xfId="0" applyAlignment="1">
      <alignment wrapText="1"/>
    </xf>
    <xf numFmtId="0" fontId="0" fillId="0" borderId="0" xfId="0" applyAlignment="1">
      <alignment vertical="center" wrapText="1"/>
    </xf>
    <xf numFmtId="0" fontId="4" fillId="0" borderId="0" xfId="0" applyFont="1" applyAlignment="1">
      <alignment horizontal="left" vertical="center" wrapText="1"/>
    </xf>
    <xf numFmtId="0" fontId="2" fillId="0" borderId="0" xfId="0" applyFont="1" applyAlignment="1">
      <alignment horizontal="center" vertical="center" wrapText="1"/>
    </xf>
    <xf numFmtId="0" fontId="2" fillId="0" borderId="0" xfId="0" applyFont="1" applyAlignment="1">
      <alignment horizontal="center" vertical="center"/>
    </xf>
    <xf numFmtId="0" fontId="0" fillId="0" borderId="0" xfId="0"/>
    <xf numFmtId="0" fontId="0" fillId="0" borderId="0" xfId="0" applyAlignment="1">
      <alignment horizontal="left" vertical="center" wrapText="1"/>
    </xf>
    <xf numFmtId="0" fontId="0" fillId="0" borderId="0" xfId="0"/>
    <xf numFmtId="0" fontId="2" fillId="0" borderId="4" xfId="0" applyFont="1" applyBorder="1" applyAlignment="1">
      <alignment horizontal="center" vertical="center" wrapText="1"/>
    </xf>
    <xf numFmtId="0" fontId="0" fillId="0" borderId="3" xfId="0" applyBorder="1"/>
    <xf numFmtId="0" fontId="0" fillId="0" borderId="1" xfId="0" applyBorder="1"/>
    <xf numFmtId="0" fontId="0" fillId="0" borderId="0" xfId="0" applyAlignment="1">
      <alignment wrapText="1"/>
    </xf>
    <xf numFmtId="0" fontId="6" fillId="6" borderId="4" xfId="0" applyFont="1" applyFill="1" applyBorder="1" applyAlignment="1">
      <alignment horizontal="center" vertical="center" wrapText="1"/>
    </xf>
    <xf numFmtId="0" fontId="0" fillId="0" borderId="0" xfId="0" applyAlignment="1">
      <alignment vertical="center" wrapText="1"/>
    </xf>
    <xf numFmtId="0" fontId="2"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wrapText="1"/>
    </xf>
    <xf numFmtId="0" fontId="0" fillId="0" borderId="0" xfId="0" applyAlignment="1">
      <alignment horizontal="center" vertical="center" wrapText="1"/>
    </xf>
    <xf numFmtId="0" fontId="3" fillId="0" borderId="0" xfId="0" applyFont="1" applyAlignment="1">
      <alignment vertical="center" wrapText="1"/>
    </xf>
    <xf numFmtId="0" fontId="5" fillId="0" borderId="0" xfId="0" applyFont="1" applyAlignment="1">
      <alignment vertical="center" wrapText="1"/>
    </xf>
    <xf numFmtId="0" fontId="4" fillId="0" borderId="0" xfId="0" applyFont="1" applyAlignment="1">
      <alignment horizontal="left" vertical="center" wrapText="1"/>
    </xf>
    <xf numFmtId="0" fontId="0" fillId="0" borderId="7" xfId="0" applyBorder="1" applyAlignment="1">
      <alignment horizontal="left" vertical="center" wrapText="1"/>
    </xf>
    <xf numFmtId="0" fontId="0" fillId="0" borderId="7" xfId="0" applyBorder="1"/>
    <xf numFmtId="0" fontId="3" fillId="0" borderId="0" xfId="0" applyFont="1" applyAlignment="1">
      <alignment horizontal="left" vertical="center" wrapText="1"/>
    </xf>
    <xf numFmtId="0" fontId="0" fillId="0" borderId="5" xfId="0" applyBorder="1"/>
    <xf numFmtId="0" fontId="0" fillId="0" borderId="2" xfId="0" applyBorder="1"/>
    <xf numFmtId="0" fontId="9" fillId="0" borderId="0" xfId="0" applyFont="1" applyAlignment="1">
      <alignment horizontal="left" vertical="center" wrapText="1"/>
    </xf>
    <xf numFmtId="0" fontId="0" fillId="2" borderId="4" xfId="0" applyFill="1" applyBorder="1" applyAlignment="1">
      <alignment horizontal="center" vertical="center"/>
    </xf>
    <xf numFmtId="0" fontId="4" fillId="0" borderId="0" xfId="0" applyFont="1" applyAlignment="1">
      <alignment horizontal="left" vertical="center"/>
    </xf>
    <xf numFmtId="0" fontId="2" fillId="0" borderId="0" xfId="0" applyFont="1" applyAlignment="1">
      <alignment horizontal="center" vertical="center"/>
    </xf>
    <xf numFmtId="0" fontId="0" fillId="0" borderId="0" xfId="0" applyAlignment="1">
      <alignment horizontal="left" vertical="center"/>
    </xf>
    <xf numFmtId="0" fontId="3" fillId="0" borderId="0" xfId="0" applyFont="1" applyAlignment="1">
      <alignment horizontal="left" vertical="center"/>
    </xf>
    <xf numFmtId="0" fontId="6" fillId="6" borderId="4" xfId="0" applyFont="1" applyFill="1" applyBorder="1" applyAlignment="1">
      <alignment horizontal="center" vertical="center"/>
    </xf>
    <xf numFmtId="0" fontId="0" fillId="8" borderId="4" xfId="0" applyFill="1" applyBorder="1" applyAlignment="1">
      <alignment horizontal="center" vertical="center"/>
    </xf>
    <xf numFmtId="10" fontId="10" fillId="7" borderId="0" xfId="0" applyNumberFormat="1" applyFont="1" applyFill="1" applyBorder="1" applyAlignment="1">
      <alignment horizontal="right" vertical="center" wrapText="1"/>
    </xf>
    <xf numFmtId="10" fontId="0" fillId="6" borderId="9" xfId="1" applyNumberFormat="1" applyFont="1" applyFill="1" applyBorder="1" applyAlignment="1"/>
    <xf numFmtId="10" fontId="10" fillId="6" borderId="8" xfId="0" applyNumberFormat="1" applyFont="1" applyFill="1" applyBorder="1" applyAlignment="1">
      <alignment horizontal="right" vertical="center" wrapText="1"/>
    </xf>
  </cellXfs>
  <cellStyles count="2">
    <cellStyle name="百分比" xfId="1" builtinId="5"/>
    <cellStyle name="常规" xfId="0" builtinId="0"/>
  </cellStyles>
  <dxfs count="12">
    <dxf>
      <font>
        <strike val="0"/>
        <condense val="0"/>
        <extend val="0"/>
        <outline val="0"/>
        <shadow val="0"/>
        <vertAlign val="baseline"/>
        <sz val="11"/>
        <color theme="1"/>
        <name val="宋体"/>
        <scheme val="minor"/>
      </font>
      <numFmt numFmtId="14" formatCode="0.00%"/>
      <alignment horizontal="general" vertical="bottom"/>
    </dxf>
    <dxf>
      <font>
        <strike val="0"/>
        <condense val="0"/>
        <extend val="0"/>
        <outline val="0"/>
        <shadow val="0"/>
        <vertAlign val="baseline"/>
        <sz val="11"/>
        <color theme="1"/>
        <name val="宋体"/>
        <scheme val="minor"/>
      </font>
      <numFmt numFmtId="14" formatCode="0.00%"/>
      <alignment horizontal="general" vertical="bottom"/>
    </dxf>
    <dxf>
      <font>
        <strike val="0"/>
        <condense val="0"/>
        <extend val="0"/>
        <outline val="0"/>
        <shadow val="0"/>
        <vertAlign val="baseline"/>
        <sz val="11"/>
        <color theme="1"/>
        <name val="宋体"/>
        <scheme val="minor"/>
      </font>
      <numFmt numFmtId="14" formatCode="0.00%"/>
      <alignment horizontal="general" vertical="bottom"/>
    </dxf>
    <dxf>
      <numFmt numFmtId="0" formatCode="General"/>
    </dxf>
    <dxf>
      <font>
        <strike val="0"/>
        <condense val="0"/>
        <extend val="0"/>
        <outline val="0"/>
        <shadow val="0"/>
        <vertAlign val="baseline"/>
        <sz val="11"/>
        <color theme="1"/>
        <name val="宋体"/>
        <scheme val="minor"/>
      </font>
      <numFmt numFmtId="14" formatCode="0.00%"/>
      <alignment horizontal="general" vertical="bottom"/>
    </dxf>
    <dxf>
      <numFmt numFmtId="2" formatCode="0.00"/>
    </dxf>
    <dxf>
      <alignment horizontal="general" vertical="center"/>
    </dxf>
    <dxf>
      <fill>
        <patternFill>
          <fgColor indexed="64"/>
          <bgColor indexed="65"/>
        </patternFill>
      </fill>
      <alignment horizontal="general" vertical="center"/>
    </dxf>
    <dxf>
      <fill>
        <patternFill>
          <bgColor rgb="FF92D050"/>
        </patternFill>
      </fill>
    </dxf>
    <dxf>
      <fill>
        <patternFill>
          <bgColor rgb="FF00B050"/>
        </patternFill>
      </fill>
    </dxf>
    <dxf>
      <fill>
        <patternFill>
          <bgColor rgb="FFFFFF0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ables/table1.xml><?xml version="1.0" encoding="utf-8"?>
<table xmlns="http://schemas.openxmlformats.org/spreadsheetml/2006/main" id="1" name="表4" displayName="表4" ref="A1:V40" totalsRowShown="0" headerRowDxfId="7">
  <autoFilter ref="A1:V40"/>
  <sortState ref="A2:V40">
    <sortCondition descending="1" ref="M1:M40"/>
  </sortState>
  <tableColumns count="22">
    <tableColumn id="1" name="日期" dataDxfId="6">
      <calculatedColumnFormula>TODAY()</calculatedColumnFormula>
    </tableColumn>
    <tableColumn id="2" name="代码"/>
    <tableColumn id="3" name="股名">
      <calculatedColumnFormula>getStockName($B2)</calculatedColumnFormula>
    </tableColumn>
    <tableColumn id="4" name="目标PE"/>
    <tableColumn id="11" name="最低PE"/>
    <tableColumn id="5" name="20Y净利润（亿）"/>
    <tableColumn id="6" name="股本(亿)"/>
    <tableColumn id="25" name="目标PB "/>
    <tableColumn id="24" name="最低PB"/>
    <tableColumn id="23" name="20Y净资产"/>
    <tableColumn id="7" name="买入价" dataDxfId="5">
      <calculatedColumnFormula>getAdvisePrice($F2,$D2,$G2)</calculatedColumnFormula>
    </tableColumn>
    <tableColumn id="8" name="现价">
      <calculatedColumnFormula>getStockPrice($B2)</calculatedColumnFormula>
    </tableColumn>
    <tableColumn id="9" name="PE年化" dataDxfId="4" dataCellStyle="百分比">
      <calculatedColumnFormula>POWER(K2*2/L2,1/2)-1</calculatedColumnFormula>
    </tableColumn>
    <tableColumn id="10" name="最低年化(PE)" dataDxfId="3">
      <calculatedColumnFormula>getMinPercent($F2, $E2, $G2, $L2)</calculatedColumnFormula>
    </tableColumn>
    <tableColumn id="27" name="PB年化" dataDxfId="2" dataCellStyle="百分比">
      <calculatedColumnFormula>POWER(H2*J2/L2,1/2)-1</calculatedColumnFormula>
    </tableColumn>
    <tableColumn id="26" name="最低年化(PB)" dataDxfId="1" dataCellStyle="百分比">
      <calculatedColumnFormula>POWER(I2*J2/L2,1/2)-1</calculatedColumnFormula>
    </tableColumn>
    <tableColumn id="20" name="2019-9-30" dataDxfId="0" dataCellStyle="百分比"/>
    <tableColumn id="12" name="2019-6-30"/>
    <tableColumn id="13" name="2019-3-31"/>
    <tableColumn id="14" name="2018-12-31"/>
    <tableColumn id="15" name="2018-9-30"/>
    <tableColumn id="16" name="2018-6-30"/>
  </tableColumns>
  <tableStyleInfo name="TableStyleLight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hyperlink" Target="https://www.iwencai.com/stockpick/search?preParams=&amp;ts=1&amp;f=1&amp;qs=zgxgrh_qyzyxjllfcff=&amp;tid=stockpick&amp;w=002507+%E4%BC%81%E4%B8%9A%E8%87%AA%E7%94%B1%E7%8E%B0%E9%87%91%E6%B5%81%E9%87%8Ffcf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O43"/>
  <sheetViews>
    <sheetView tabSelected="1" topLeftCell="A12" zoomScale="85" zoomScaleNormal="85" workbookViewId="0">
      <selection activeCell="J24" sqref="J24"/>
    </sheetView>
  </sheetViews>
  <sheetFormatPr defaultRowHeight="13.5" x14ac:dyDescent="0.15"/>
  <cols>
    <col min="1" max="1" width="10.25" style="65" customWidth="1"/>
    <col min="2" max="3" width="8.25" style="65" customWidth="1"/>
    <col min="4" max="4" width="8.75" style="65" customWidth="1"/>
    <col min="5" max="5" width="8.875" style="65" customWidth="1"/>
    <col min="6" max="6" width="9.75" style="65" customWidth="1"/>
    <col min="7" max="7" width="7.375" style="65" customWidth="1"/>
    <col min="8" max="8" width="7.75" style="65" customWidth="1"/>
    <col min="9" max="9" width="8" style="65" customWidth="1"/>
    <col min="10" max="10" width="7.875" style="65" customWidth="1"/>
    <col min="11" max="11" width="8.25" style="65" customWidth="1"/>
    <col min="13" max="13" width="9.125" style="65" customWidth="1"/>
    <col min="14" max="14" width="10.75" style="65" customWidth="1"/>
    <col min="15" max="15" width="9.125" style="65" customWidth="1"/>
    <col min="16" max="16" width="10.75" style="65" customWidth="1"/>
    <col min="17" max="17" width="9" style="65" customWidth="1"/>
    <col min="18" max="18" width="9.375" style="65" customWidth="1"/>
  </cols>
  <sheetData>
    <row r="1" spans="1:41" ht="14.25" customHeight="1" thickBot="1" x14ac:dyDescent="0.2">
      <c r="A1" s="24" t="s">
        <v>0</v>
      </c>
      <c r="B1" s="28" t="s">
        <v>1</v>
      </c>
      <c r="C1" s="24" t="s">
        <v>2</v>
      </c>
      <c r="D1" s="28" t="s">
        <v>3</v>
      </c>
      <c r="E1" s="28" t="s">
        <v>4</v>
      </c>
      <c r="F1" s="28" t="s">
        <v>5</v>
      </c>
      <c r="G1" s="28" t="s">
        <v>6</v>
      </c>
      <c r="H1" s="28" t="s">
        <v>7</v>
      </c>
      <c r="I1" s="28" t="s">
        <v>8</v>
      </c>
      <c r="J1" s="28" t="s">
        <v>9</v>
      </c>
      <c r="K1" s="24" t="s">
        <v>10</v>
      </c>
      <c r="L1" s="24" t="s">
        <v>11</v>
      </c>
      <c r="M1" s="24" t="s">
        <v>12</v>
      </c>
      <c r="N1" s="24" t="s">
        <v>13</v>
      </c>
      <c r="O1" s="24" t="s">
        <v>14</v>
      </c>
      <c r="P1" s="24" t="s">
        <v>15</v>
      </c>
      <c r="Q1" s="58" t="s">
        <v>16</v>
      </c>
      <c r="R1" s="58" t="s">
        <v>17</v>
      </c>
      <c r="S1" s="24" t="s">
        <v>18</v>
      </c>
      <c r="T1" s="24" t="s">
        <v>19</v>
      </c>
      <c r="U1" s="24" t="s">
        <v>20</v>
      </c>
      <c r="V1" s="24" t="s">
        <v>21</v>
      </c>
    </row>
    <row r="2" spans="1:41" ht="14.25" customHeight="1" thickBot="1" x14ac:dyDescent="0.2">
      <c r="A2" s="58">
        <f ca="1">TODAY()</f>
        <v>43881</v>
      </c>
      <c r="B2" s="26" t="s">
        <v>22</v>
      </c>
      <c r="C2" t="str">
        <f>getStockName($B2)</f>
        <v>蓝光发展</v>
      </c>
      <c r="D2">
        <v>14.2</v>
      </c>
      <c r="E2">
        <v>6.91</v>
      </c>
      <c r="F2">
        <v>51.04</v>
      </c>
      <c r="G2">
        <v>30.13</v>
      </c>
      <c r="H2">
        <v>1.42</v>
      </c>
      <c r="I2">
        <v>0.8</v>
      </c>
      <c r="J2">
        <v>8.0299999999999994</v>
      </c>
      <c r="K2" s="25">
        <f>getAdvisePrice($F2,$D2,$G2)</f>
        <v>12.027348518371582</v>
      </c>
      <c r="L2">
        <f ca="1">getStockPrice($B2)</f>
        <v>6.88</v>
      </c>
      <c r="M2" s="27">
        <f ca="1">POWER(K2*2/L2,1/2)-1</f>
        <v>0.86984551332795124</v>
      </c>
      <c r="N2" s="27">
        <f ca="1">getMinPercent($F2, $E2, $G2, $L2)</f>
        <v>0.30436931365816067</v>
      </c>
      <c r="O2" s="27">
        <f ca="1">POWER(H2*J2/L2,1/2)-1</f>
        <v>0.28738286890994091</v>
      </c>
      <c r="P2" s="27">
        <f ca="1">POWER(I2*J2/L2,1/2)-1</f>
        <v>-3.3707637289542625E-2</v>
      </c>
      <c r="Q2" s="57">
        <v>0.95269999999999999</v>
      </c>
      <c r="R2" s="57">
        <v>0.81510000000000005</v>
      </c>
      <c r="S2" s="57">
        <v>0.73399999999999999</v>
      </c>
      <c r="T2" s="56">
        <v>0.25530000000000003</v>
      </c>
      <c r="U2" s="57">
        <v>0.31130000000000002</v>
      </c>
      <c r="V2" s="18">
        <v>0.24379999999999999</v>
      </c>
    </row>
    <row r="3" spans="1:41" ht="14.25" customHeight="1" thickBot="1" x14ac:dyDescent="0.2">
      <c r="A3" s="58">
        <f ca="1">TODAY()</f>
        <v>43881</v>
      </c>
      <c r="B3" s="71" t="s">
        <v>23</v>
      </c>
      <c r="C3" t="str">
        <f>getStockName($B3)</f>
        <v>中国平安</v>
      </c>
      <c r="D3">
        <v>11.7</v>
      </c>
      <c r="E3">
        <v>8.73</v>
      </c>
      <c r="F3">
        <v>1745.29</v>
      </c>
      <c r="G3">
        <v>108.33</v>
      </c>
      <c r="H3">
        <v>2.2200000000000002</v>
      </c>
      <c r="I3">
        <v>1.39</v>
      </c>
      <c r="J3">
        <v>43.51</v>
      </c>
      <c r="K3" s="25">
        <f>getAdvisePrice($F3,$D3,$G3)</f>
        <v>94.248558044433594</v>
      </c>
      <c r="L3">
        <f ca="1">getStockPrice($B3)</f>
        <v>81.89</v>
      </c>
      <c r="M3" s="27">
        <f ca="1">POWER(K3*2/L3,1/2)-1</f>
        <v>0.51717933781902814</v>
      </c>
      <c r="N3" s="27">
        <f ca="1">getMinPercent($F3, $E3, $G3, $L3)</f>
        <v>0.3105424906937897</v>
      </c>
      <c r="O3" s="27">
        <f ca="1">POWER(H3*J3/L3,1/2)-1</f>
        <v>8.606443771860528E-2</v>
      </c>
      <c r="P3" s="27">
        <f ca="1">POWER(I3*J3/L3,1/2)-1</f>
        <v>-0.14061749897810638</v>
      </c>
      <c r="Q3" s="56">
        <v>0.18640000000000001</v>
      </c>
      <c r="R3" s="56">
        <v>0.1918</v>
      </c>
      <c r="S3" s="57">
        <v>0.21510000000000001</v>
      </c>
      <c r="T3" s="18">
        <v>9.6500000000000002E-2</v>
      </c>
      <c r="U3" s="18">
        <v>0.13189999999999999</v>
      </c>
      <c r="V3" s="18">
        <v>0.1532</v>
      </c>
    </row>
    <row r="4" spans="1:41" ht="14.25" customHeight="1" thickBot="1" x14ac:dyDescent="0.2">
      <c r="A4" s="58">
        <f ca="1">TODAY()</f>
        <v>43881</v>
      </c>
      <c r="B4" s="71" t="s">
        <v>24</v>
      </c>
      <c r="C4" t="str">
        <f>getStockName($B4)</f>
        <v>中国医药</v>
      </c>
      <c r="D4">
        <v>20.2</v>
      </c>
      <c r="E4">
        <v>8.2899999999999991</v>
      </c>
      <c r="F4">
        <v>15.11</v>
      </c>
      <c r="G4">
        <v>10.68</v>
      </c>
      <c r="H4">
        <v>2.9</v>
      </c>
      <c r="I4">
        <v>1.53</v>
      </c>
      <c r="J4">
        <v>10.59</v>
      </c>
      <c r="K4" s="25">
        <f>getAdvisePrice($F4,$D4,$G4)</f>
        <v>14.289419174194336</v>
      </c>
      <c r="L4">
        <f ca="1">getStockPrice($B4)</f>
        <v>15.65</v>
      </c>
      <c r="M4" s="27">
        <f ca="1">POWER(K4*2/L4,1/2)-1</f>
        <v>0.35134150240680162</v>
      </c>
      <c r="N4" s="27">
        <f ca="1">getMinPercent($F4, $E4, $G4, $L4)</f>
        <v>-0.13430144359168628</v>
      </c>
      <c r="O4" s="27">
        <f ca="1">POWER(H4*J4/L4,1/2)-1</f>
        <v>0.40084410883309785</v>
      </c>
      <c r="P4" s="27">
        <f ca="1">POWER(I4*J4/L4,1/2)-1</f>
        <v>1.750493558002586E-2</v>
      </c>
      <c r="Q4" s="57">
        <v>0.17249999999999999</v>
      </c>
      <c r="R4" s="56">
        <v>0.16039999999999999</v>
      </c>
      <c r="S4" s="57">
        <v>0.2384</v>
      </c>
      <c r="T4" s="18">
        <v>2.1399999999999999E-2</v>
      </c>
      <c r="U4" s="18">
        <v>2.7099999999999999E-2</v>
      </c>
      <c r="V4" s="18">
        <v>4.1000000000000003E-3</v>
      </c>
    </row>
    <row r="5" spans="1:41" ht="14.25" customHeight="1" thickBot="1" x14ac:dyDescent="0.2">
      <c r="A5" s="58">
        <f ca="1">TODAY()</f>
        <v>43881</v>
      </c>
      <c r="B5" s="26" t="s">
        <v>25</v>
      </c>
      <c r="C5" t="str">
        <f>getStockName($B5)</f>
        <v>万 科Ａ</v>
      </c>
      <c r="D5">
        <v>10.44</v>
      </c>
      <c r="E5">
        <v>6.27</v>
      </c>
      <c r="F5">
        <v>494.08</v>
      </c>
      <c r="G5">
        <v>97.24</v>
      </c>
      <c r="H5">
        <v>2.02</v>
      </c>
      <c r="I5">
        <v>1.29</v>
      </c>
      <c r="J5">
        <v>20.32</v>
      </c>
      <c r="K5" s="25">
        <f>getAdvisePrice($F5,$D5,$G5)</f>
        <v>26.52301025390625</v>
      </c>
      <c r="L5">
        <f ca="1">getStockPrice($B5)</f>
        <v>29.54</v>
      </c>
      <c r="M5" s="27">
        <f ca="1">POWER(K5*2/L5,1/2)-1</f>
        <v>0.3400504809129925</v>
      </c>
      <c r="N5" s="27">
        <f ca="1">getMinPercent($F5, $E5, $G5, $L5)</f>
        <v>3.8495642244298578E-2</v>
      </c>
      <c r="O5" s="27">
        <f ca="1">POWER(H5*J5/L5,1/2)-1</f>
        <v>0.1787787306657711</v>
      </c>
      <c r="P5" s="27">
        <f ca="1">POWER(I5*J5/L5,1/2)-1</f>
        <v>-5.7998788214105534E-2</v>
      </c>
      <c r="Q5" s="100">
        <v>0.27210000000000001</v>
      </c>
      <c r="R5" s="56">
        <v>0.31469999999999998</v>
      </c>
      <c r="S5" s="57">
        <v>0.56930000000000003</v>
      </c>
      <c r="T5" s="56">
        <v>0.22550000000000001</v>
      </c>
      <c r="U5" s="18">
        <v>0.50319999999999998</v>
      </c>
      <c r="V5" s="18">
        <v>0.51800000000000002</v>
      </c>
    </row>
    <row r="6" spans="1:41" ht="14.25" customHeight="1" thickBot="1" x14ac:dyDescent="0.2">
      <c r="A6" s="58">
        <f ca="1">TODAY()</f>
        <v>43881</v>
      </c>
      <c r="B6" s="71" t="s">
        <v>26</v>
      </c>
      <c r="C6" t="str">
        <f>getStockName($B6)</f>
        <v>白云山</v>
      </c>
      <c r="D6">
        <v>22.35</v>
      </c>
      <c r="E6">
        <v>13.45</v>
      </c>
      <c r="F6">
        <v>40.25</v>
      </c>
      <c r="G6">
        <v>14.06</v>
      </c>
      <c r="H6">
        <v>2.65</v>
      </c>
      <c r="I6">
        <v>2.14</v>
      </c>
      <c r="J6">
        <v>13.29</v>
      </c>
      <c r="K6" s="25">
        <f>getAdvisePrice($F6,$D6,$G6)</f>
        <v>31.991020202636719</v>
      </c>
      <c r="L6">
        <f ca="1">getStockPrice($B6)</f>
        <v>36.74</v>
      </c>
      <c r="M6" s="64">
        <f ca="1">POWER(K6*2/L6,1/2)-1</f>
        <v>0.31965214157977506</v>
      </c>
      <c r="N6" s="27">
        <f ca="1">getMinPercent($F6, $E6, $G6, $L6)</f>
        <v>2.3721510284607339E-2</v>
      </c>
      <c r="O6" s="64">
        <f ca="1">POWER(H6*J6/L6,1/2)-1</f>
        <v>-2.0925247637791911E-2</v>
      </c>
      <c r="P6" s="64">
        <f ca="1">POWER(I6*J6/L6,1/2)-1</f>
        <v>-0.12016790338368843</v>
      </c>
      <c r="Q6" s="56">
        <v>0.67569999999999997</v>
      </c>
      <c r="R6" s="56">
        <v>1.2466999999999999</v>
      </c>
      <c r="S6" s="18">
        <v>1.6132</v>
      </c>
      <c r="T6" s="18">
        <v>1.0155000000000001</v>
      </c>
      <c r="U6" s="18">
        <v>0.87109999999999999</v>
      </c>
      <c r="V6" s="18">
        <v>0.33510000000000001</v>
      </c>
    </row>
    <row r="7" spans="1:41" ht="14.25" customHeight="1" thickBot="1" x14ac:dyDescent="0.2">
      <c r="A7" s="58">
        <f ca="1">TODAY()</f>
        <v>43881</v>
      </c>
      <c r="B7" s="26" t="s">
        <v>27</v>
      </c>
      <c r="C7" t="str">
        <f>getStockName($B7)</f>
        <v>海螺水泥</v>
      </c>
      <c r="D7">
        <v>10.26</v>
      </c>
      <c r="E7">
        <v>5.59</v>
      </c>
      <c r="F7">
        <v>339.94</v>
      </c>
      <c r="G7">
        <v>40</v>
      </c>
      <c r="H7">
        <v>1.64</v>
      </c>
      <c r="I7">
        <v>1.2</v>
      </c>
      <c r="J7">
        <v>29.52</v>
      </c>
      <c r="K7" s="25">
        <f>getAdvisePrice($F7,$D7,$G7)</f>
        <v>43.597305297851563</v>
      </c>
      <c r="L7">
        <f ca="1">getStockPrice($B7)</f>
        <v>52.25</v>
      </c>
      <c r="M7" s="61">
        <f ca="1">POWER(K7*2/L7,1/2)-1</f>
        <v>0.29181901791132514</v>
      </c>
      <c r="N7" s="27">
        <f ca="1">getMinPercent($F7, $E7, $G7, $L7)</f>
        <v>-4.6471005522045972E-2</v>
      </c>
      <c r="O7" s="61">
        <f ca="1">POWER(H7*J7/L7,1/2)-1</f>
        <v>-3.7419735528387621E-2</v>
      </c>
      <c r="P7" s="61">
        <f ca="1">POWER(I7*J7/L7,1/2)-1</f>
        <v>-0.17660987869295597</v>
      </c>
      <c r="Q7" s="18">
        <v>0.42370000000000002</v>
      </c>
      <c r="R7" s="18">
        <v>0.56630000000000003</v>
      </c>
      <c r="S7" s="18">
        <v>0.62529999999999997</v>
      </c>
      <c r="T7" s="18">
        <v>0.70499999999999996</v>
      </c>
      <c r="U7" s="18">
        <v>0.55459999999999998</v>
      </c>
      <c r="V7" s="18">
        <v>0.43359999999999999</v>
      </c>
    </row>
    <row r="8" spans="1:41" ht="14.25" customHeight="1" thickBot="1" x14ac:dyDescent="0.2">
      <c r="A8" s="58">
        <f ca="1">TODAY()</f>
        <v>43881</v>
      </c>
      <c r="B8" s="26" t="s">
        <v>28</v>
      </c>
      <c r="C8" t="str">
        <f>getStockName($B8)</f>
        <v>中国建筑</v>
      </c>
      <c r="D8">
        <v>7.47</v>
      </c>
      <c r="E8">
        <v>5.33</v>
      </c>
      <c r="F8">
        <v>471.75</v>
      </c>
      <c r="G8">
        <v>419.76</v>
      </c>
      <c r="H8">
        <v>1.1000000000000001</v>
      </c>
      <c r="I8">
        <v>0.82</v>
      </c>
      <c r="J8">
        <v>7.37</v>
      </c>
      <c r="K8" s="25">
        <f>getAdvisePrice($F8,$D8,$G8)</f>
        <v>4.197603702545166</v>
      </c>
      <c r="L8">
        <f ca="1">getStockPrice($B8)</f>
        <v>5.37</v>
      </c>
      <c r="M8" s="64">
        <f ca="1">POWER(K8*2/L8,1/2)-1</f>
        <v>0.25034128712174164</v>
      </c>
      <c r="N8" s="27">
        <f ca="1">getMinPercent($F8, $E8, $G8, $L8)</f>
        <v>5.6165280994255662E-2</v>
      </c>
      <c r="O8" s="64">
        <f ca="1">POWER(H8*J8/L8,1/2)-1</f>
        <v>0.22869175403890574</v>
      </c>
      <c r="P8" s="64">
        <f ca="1">POWER(I8*J8/L8,1/2)-1</f>
        <v>6.0848892368502439E-2</v>
      </c>
      <c r="Q8" s="60">
        <v>0.1583</v>
      </c>
      <c r="R8" s="60">
        <v>0.1638</v>
      </c>
      <c r="S8" s="60">
        <v>0.10150000000000001</v>
      </c>
      <c r="T8" s="60">
        <v>0.13780000000000001</v>
      </c>
      <c r="U8" s="60">
        <v>9.0300000000000005E-2</v>
      </c>
      <c r="V8" s="60">
        <v>0.1212</v>
      </c>
    </row>
    <row r="9" spans="1:41" ht="14.25" customHeight="1" thickBot="1" x14ac:dyDescent="0.2">
      <c r="A9" s="58">
        <f ca="1">TODAY()</f>
        <v>43881</v>
      </c>
      <c r="B9" s="26" t="s">
        <v>30</v>
      </c>
      <c r="C9" t="str">
        <f>getStockName($B9)</f>
        <v>保利地产</v>
      </c>
      <c r="D9">
        <v>8.7899999999999991</v>
      </c>
      <c r="E9">
        <v>4.87</v>
      </c>
      <c r="F9">
        <v>317.01</v>
      </c>
      <c r="G9">
        <v>119.33</v>
      </c>
      <c r="H9">
        <v>1.34</v>
      </c>
      <c r="I9">
        <v>1.1200000000000001</v>
      </c>
      <c r="J9">
        <v>14.28</v>
      </c>
      <c r="K9" s="25">
        <f>getAdvisePrice($F9,$D9,$G9)</f>
        <v>11.675680160522461</v>
      </c>
      <c r="L9">
        <f ca="1">getStockPrice($B9)</f>
        <v>15.53</v>
      </c>
      <c r="M9" s="27">
        <f ca="1">POWER(K9*2/L9,1/2)-1</f>
        <v>0.22622556066602595</v>
      </c>
      <c r="N9" s="27">
        <f ca="1">getMinPercent($F9, $E9, $G9, $L9)</f>
        <v>-8.7274013806940554E-2</v>
      </c>
      <c r="O9" s="27">
        <f ca="1">POWER(H9*J9/L9,1/2)-1</f>
        <v>0.11001992638002744</v>
      </c>
      <c r="P9" s="27">
        <f ca="1">POWER(I9*J9/L9,1/2)-1</f>
        <v>1.4816190031110787E-2</v>
      </c>
      <c r="Q9" s="18">
        <v>0.17760000000000001</v>
      </c>
      <c r="R9" s="18">
        <v>0.1948</v>
      </c>
      <c r="S9" s="18">
        <v>0.1212</v>
      </c>
      <c r="T9" s="18">
        <v>0.3266</v>
      </c>
      <c r="U9" s="18">
        <v>0.25669999999999998</v>
      </c>
      <c r="V9" s="18">
        <v>9.2999999999999999E-2</v>
      </c>
    </row>
    <row r="10" spans="1:41" ht="14.25" customHeight="1" thickBot="1" x14ac:dyDescent="0.2">
      <c r="A10" s="58">
        <f ca="1">TODAY()</f>
        <v>43881</v>
      </c>
      <c r="B10" s="26" t="s">
        <v>29</v>
      </c>
      <c r="C10" t="str">
        <f>getStockName($B10)</f>
        <v>酒鬼酒</v>
      </c>
      <c r="D10">
        <v>44.72</v>
      </c>
      <c r="E10">
        <v>21.65</v>
      </c>
      <c r="F10">
        <v>3.81</v>
      </c>
      <c r="G10">
        <v>3.25</v>
      </c>
      <c r="H10">
        <v>3.6</v>
      </c>
      <c r="I10">
        <v>2.2599999999999998</v>
      </c>
      <c r="J10">
        <v>8.3800000000000008</v>
      </c>
      <c r="K10" s="25">
        <f>getAdvisePrice($F10,$D10,$G10)</f>
        <v>26.212800979614258</v>
      </c>
      <c r="L10">
        <f ca="1">getStockPrice($B10)</f>
        <v>35.31</v>
      </c>
      <c r="M10" s="27">
        <f ca="1">POWER(K10*2/L10,1/2)-1</f>
        <v>0.21849248243191477</v>
      </c>
      <c r="N10" s="27">
        <f ca="1">getMinPercent($F10, $E10, $G10, $L10)</f>
        <v>-0.15218541521285478</v>
      </c>
      <c r="O10" s="27">
        <f ca="1">POWER(H10*J10/L10,1/2)-1</f>
        <v>-7.567563539034361E-2</v>
      </c>
      <c r="P10" s="27">
        <f ca="1">POWER(I10*J10/L10,1/2)-1</f>
        <v>-0.2676353556828247</v>
      </c>
      <c r="Q10" s="18">
        <v>0.27339999999999998</v>
      </c>
      <c r="R10" s="18">
        <v>0.35410000000000003</v>
      </c>
      <c r="S10" s="18">
        <v>0.30459999999999998</v>
      </c>
      <c r="T10" s="18">
        <v>0.3513</v>
      </c>
      <c r="U10" s="18">
        <v>0.37830000000000003</v>
      </c>
      <c r="V10" s="18">
        <v>0.41260000000000002</v>
      </c>
    </row>
    <row r="11" spans="1:41" ht="14.25" customHeight="1" thickBot="1" x14ac:dyDescent="0.2">
      <c r="A11" s="58">
        <f ca="1">TODAY()</f>
        <v>43881</v>
      </c>
      <c r="B11" s="26" t="s">
        <v>31</v>
      </c>
      <c r="C11" t="str">
        <f>getStockName($B11)</f>
        <v>大华股份</v>
      </c>
      <c r="D11">
        <v>25.36</v>
      </c>
      <c r="E11">
        <v>12.97</v>
      </c>
      <c r="F11">
        <v>37.369999999999997</v>
      </c>
      <c r="G11">
        <v>30.08</v>
      </c>
      <c r="H11">
        <v>5.48</v>
      </c>
      <c r="I11">
        <v>2.8</v>
      </c>
      <c r="J11">
        <v>6.32</v>
      </c>
      <c r="K11" s="25">
        <f>getAdvisePrice($F11,$D11,$G11)</f>
        <v>15.753045082092285</v>
      </c>
      <c r="L11">
        <f ca="1">getStockPrice($B11)</f>
        <v>21.27</v>
      </c>
      <c r="M11" s="27">
        <f ca="1">POWER(K11*2/L11,1/2)-1</f>
        <v>0.21706426444869886</v>
      </c>
      <c r="N11" s="27">
        <f ca="1">getMinPercent($F11, $E11, $G11, $L11)</f>
        <v>-0.12962006583377428</v>
      </c>
      <c r="O11" s="27">
        <f ca="1">POWER(H11*J11/L11,1/2)-1</f>
        <v>0.27604230652047312</v>
      </c>
      <c r="P11" s="27">
        <f ca="1">POWER(I11*J11/L11,1/2)-1</f>
        <v>-8.7876153873659435E-2</v>
      </c>
      <c r="Q11" s="56">
        <v>9.2999999999999999E-2</v>
      </c>
      <c r="R11" s="56">
        <v>0.1011</v>
      </c>
      <c r="S11" s="56">
        <v>0.2019</v>
      </c>
      <c r="T11" s="56">
        <v>0.25580000000000003</v>
      </c>
      <c r="U11" s="56">
        <v>0.28210000000000002</v>
      </c>
      <c r="V11" s="56">
        <v>0.31469999999999998</v>
      </c>
    </row>
    <row r="12" spans="1:41" ht="14.25" customHeight="1" thickBot="1" x14ac:dyDescent="0.2">
      <c r="A12" s="58">
        <f ca="1">TODAY()</f>
        <v>43881</v>
      </c>
      <c r="B12" s="26" t="s">
        <v>32</v>
      </c>
      <c r="C12" t="str">
        <f>getStockName($B12)</f>
        <v>同仁堂</v>
      </c>
      <c r="D12">
        <v>44.29</v>
      </c>
      <c r="E12">
        <v>31.39</v>
      </c>
      <c r="F12">
        <v>12.66</v>
      </c>
      <c r="G12">
        <v>13.71</v>
      </c>
      <c r="H12">
        <v>5.42</v>
      </c>
      <c r="I12">
        <v>3.82</v>
      </c>
      <c r="J12">
        <v>8.24</v>
      </c>
      <c r="K12" s="25">
        <f>getAdvisePrice($F12,$D12,$G12)</f>
        <v>20.448993682861328</v>
      </c>
      <c r="L12">
        <f ca="1">getStockPrice($B12)</f>
        <v>27.69</v>
      </c>
      <c r="M12" s="64">
        <f ca="1">POWER(K12*2/L12,1/2)-1</f>
        <v>0.21531676894894503</v>
      </c>
      <c r="N12" s="27">
        <f ca="1">getMinPercent($F12, $E12, $G12, $L12)</f>
        <v>2.3133474047410951E-2</v>
      </c>
      <c r="O12" s="64">
        <f ca="1">POWER(H12*J12/L12,1/2)-1</f>
        <v>0.26999429850595424</v>
      </c>
      <c r="P12" s="64">
        <f ca="1">POWER(I12*J12/L12,1/2)-1</f>
        <v>6.6188047188777688E-2</v>
      </c>
      <c r="Q12" s="56">
        <v>-4.9500000000000002E-2</v>
      </c>
      <c r="R12" s="56">
        <v>-1.52E-2</v>
      </c>
      <c r="S12" s="18">
        <v>6.7299999999999999E-2</v>
      </c>
      <c r="T12" s="18">
        <v>6.2300000000000001E-2</v>
      </c>
      <c r="U12" s="18">
        <v>7.0900000000000005E-2</v>
      </c>
      <c r="V12" s="18">
        <v>3.8199999999999998E-2</v>
      </c>
      <c r="AC12" s="72" t="s">
        <v>33</v>
      </c>
      <c r="AD12" s="73"/>
      <c r="AE12" s="73"/>
      <c r="AF12" s="73"/>
      <c r="AG12" s="73"/>
      <c r="AH12" s="73"/>
      <c r="AI12" s="73"/>
      <c r="AJ12" s="73"/>
      <c r="AK12" s="73"/>
      <c r="AL12" s="73"/>
      <c r="AM12" s="73"/>
      <c r="AN12" s="73"/>
      <c r="AO12" s="73"/>
    </row>
    <row r="13" spans="1:41" ht="14.25" customHeight="1" thickBot="1" x14ac:dyDescent="0.2">
      <c r="A13" s="58">
        <f ca="1">TODAY()</f>
        <v>43881</v>
      </c>
      <c r="B13" s="26" t="s">
        <v>34</v>
      </c>
      <c r="C13" t="str">
        <f>getStockName($B13)</f>
        <v>老板电器</v>
      </c>
      <c r="D13">
        <v>25.27</v>
      </c>
      <c r="E13">
        <v>11.85</v>
      </c>
      <c r="F13">
        <v>17.82</v>
      </c>
      <c r="G13">
        <v>9.49</v>
      </c>
      <c r="H13">
        <v>6.21</v>
      </c>
      <c r="I13">
        <v>3.33</v>
      </c>
      <c r="J13">
        <v>8.58</v>
      </c>
      <c r="K13" s="25">
        <f>getAdvisePrice($F13,$D13,$G13)</f>
        <v>23.725574493408203</v>
      </c>
      <c r="L13">
        <f ca="1">getStockPrice($B13)</f>
        <v>32.68</v>
      </c>
      <c r="M13" s="27">
        <f ca="1">POWER(K13*2/L13,1/2)-1</f>
        <v>0.20498694725222544</v>
      </c>
      <c r="N13" s="27">
        <f ca="1">getMinPercent($F13, $E13, $G13, $L13)</f>
        <v>-0.17483860507788596</v>
      </c>
      <c r="O13" s="27">
        <f ca="1">POWER(H13*J13/L13,1/2)-1</f>
        <v>0.2768751061555339</v>
      </c>
      <c r="P13" s="27">
        <f ca="1">POWER(I13*J13/L13,1/2)-1</f>
        <v>-6.4971740653132048E-2</v>
      </c>
      <c r="Q13" s="18">
        <v>4.2900000000000001E-2</v>
      </c>
      <c r="R13" s="18">
        <v>8.8000000000000005E-3</v>
      </c>
      <c r="S13" s="18">
        <v>4.2999999999999997E-2</v>
      </c>
      <c r="T13" s="18">
        <v>5.8099999999999999E-2</v>
      </c>
      <c r="U13" s="18">
        <v>8.14E-2</v>
      </c>
      <c r="V13" s="18">
        <v>9.35E-2</v>
      </c>
      <c r="AC13" s="73"/>
      <c r="AD13" s="73"/>
      <c r="AE13" s="73"/>
      <c r="AF13" s="73"/>
      <c r="AG13" s="73"/>
      <c r="AH13" s="73"/>
      <c r="AI13" s="73"/>
      <c r="AJ13" s="73"/>
      <c r="AK13" s="73"/>
      <c r="AL13" s="73"/>
      <c r="AM13" s="73"/>
      <c r="AN13" s="73"/>
      <c r="AO13" s="73"/>
    </row>
    <row r="14" spans="1:41" ht="14.25" customHeight="1" thickBot="1" x14ac:dyDescent="0.2">
      <c r="A14" s="58">
        <f ca="1">TODAY()</f>
        <v>43881</v>
      </c>
      <c r="B14" s="26" t="s">
        <v>35</v>
      </c>
      <c r="C14" t="str">
        <f>getStockName($B14)</f>
        <v>汤臣倍健</v>
      </c>
      <c r="D14">
        <v>28.52</v>
      </c>
      <c r="E14">
        <v>22.56</v>
      </c>
      <c r="F14">
        <v>13.96</v>
      </c>
      <c r="G14">
        <v>15.82</v>
      </c>
      <c r="H14">
        <v>4.8600000000000003</v>
      </c>
      <c r="I14">
        <v>3.25</v>
      </c>
      <c r="J14">
        <v>4.25</v>
      </c>
      <c r="K14" s="25">
        <f>getAdvisePrice($F14,$D14,$G14)</f>
        <v>12.583414077758789</v>
      </c>
      <c r="L14">
        <f ca="1">getStockPrice($B14)</f>
        <v>17.920000000000002</v>
      </c>
      <c r="M14" s="27">
        <f ca="1">POWER(K14*2/L14,1/2)-1</f>
        <v>0.18507337013663738</v>
      </c>
      <c r="N14" s="27">
        <f ca="1">getMinPercent($F14, $E14, $G14, $L14)</f>
        <v>5.399854966132267E-2</v>
      </c>
      <c r="O14" s="27">
        <f ca="1">POWER(H14*J14/L14,1/2)-1</f>
        <v>7.3602704848093614E-2</v>
      </c>
      <c r="P14" s="27">
        <f ca="1">POWER(I14*J14/L14,1/2)-1</f>
        <v>-0.12205533753137787</v>
      </c>
      <c r="Q14" s="56">
        <v>0.28039999999999998</v>
      </c>
      <c r="R14" s="56">
        <v>0.36880000000000002</v>
      </c>
      <c r="S14" s="57">
        <v>0.47170000000000001</v>
      </c>
      <c r="T14" s="56">
        <v>0.39860000000000001</v>
      </c>
      <c r="U14" s="18">
        <v>0.45579999999999998</v>
      </c>
      <c r="V14" s="18">
        <v>0.45950000000000002</v>
      </c>
      <c r="AC14" s="73"/>
      <c r="AD14" s="73"/>
      <c r="AE14" s="73"/>
      <c r="AF14" s="73"/>
      <c r="AG14" s="73"/>
      <c r="AH14" s="73"/>
      <c r="AI14" s="73"/>
      <c r="AJ14" s="73"/>
      <c r="AK14" s="73"/>
      <c r="AL14" s="73"/>
      <c r="AM14" s="73"/>
      <c r="AN14" s="73"/>
      <c r="AO14" s="73"/>
    </row>
    <row r="15" spans="1:41" ht="14.25" customHeight="1" thickBot="1" x14ac:dyDescent="0.2">
      <c r="A15" s="58">
        <f ca="1">TODAY()</f>
        <v>43881</v>
      </c>
      <c r="B15" t="s">
        <v>36</v>
      </c>
      <c r="C15" t="str">
        <f>getStockName($B15)</f>
        <v>东方雨虹</v>
      </c>
      <c r="D15">
        <v>22.91</v>
      </c>
      <c r="E15">
        <v>12.06</v>
      </c>
      <c r="F15">
        <v>26.41</v>
      </c>
      <c r="G15">
        <v>14.88</v>
      </c>
      <c r="H15">
        <v>4.42</v>
      </c>
      <c r="I15">
        <v>2.27</v>
      </c>
      <c r="J15">
        <v>8.16</v>
      </c>
      <c r="K15" s="25">
        <f>getAdvisePrice($F15,$D15,$G15)</f>
        <v>20.331085205078125</v>
      </c>
      <c r="L15">
        <f ca="1">getStockPrice($B15)</f>
        <v>29.87</v>
      </c>
      <c r="M15" s="64">
        <f ca="1">POWER(K15*2/L15,1/2)-1</f>
        <v>0.16674961634014296</v>
      </c>
      <c r="N15" s="27">
        <f ca="1">getMinPercent($F15, $E15, $G15, $L15)</f>
        <v>-0.15347697318436526</v>
      </c>
      <c r="O15" s="64">
        <f ca="1">POWER(H15*J15/L15,1/2)-1</f>
        <v>9.8850481327963369E-2</v>
      </c>
      <c r="P15" s="64">
        <f ca="1">POWER(I15*J15/L15,1/2)-1</f>
        <v>-0.2125184332668949</v>
      </c>
      <c r="Q15" s="60">
        <v>0.38640000000000002</v>
      </c>
      <c r="R15" s="60">
        <v>0.40889999999999999</v>
      </c>
      <c r="S15" s="60">
        <v>0.41010000000000002</v>
      </c>
      <c r="T15" s="60">
        <v>0.36459999999999998</v>
      </c>
      <c r="U15" s="60">
        <v>0.33429999999999999</v>
      </c>
      <c r="V15" s="60">
        <v>0.30209999999999998</v>
      </c>
      <c r="AC15" s="73"/>
      <c r="AD15" s="73"/>
      <c r="AE15" s="73"/>
      <c r="AF15" s="73"/>
      <c r="AG15" s="73"/>
      <c r="AH15" s="73"/>
      <c r="AI15" s="73"/>
      <c r="AJ15" s="73"/>
      <c r="AK15" s="73"/>
      <c r="AL15" s="73"/>
      <c r="AM15" s="73"/>
      <c r="AN15" s="73"/>
      <c r="AO15" s="73"/>
    </row>
    <row r="16" spans="1:41" ht="14.25" customHeight="1" thickBot="1" x14ac:dyDescent="0.2">
      <c r="A16" s="58">
        <f ca="1">TODAY()</f>
        <v>43881</v>
      </c>
      <c r="B16" s="26" t="s">
        <v>37</v>
      </c>
      <c r="C16" t="str">
        <f>getStockName($B16)</f>
        <v>涪陵榨菜</v>
      </c>
      <c r="D16">
        <v>34.82</v>
      </c>
      <c r="E16">
        <v>23.74</v>
      </c>
      <c r="F16">
        <v>7.72</v>
      </c>
      <c r="G16">
        <v>7.89</v>
      </c>
      <c r="H16">
        <v>6.37</v>
      </c>
      <c r="I16">
        <v>3.81</v>
      </c>
      <c r="J16">
        <v>4.78</v>
      </c>
      <c r="K16" s="25">
        <f>getAdvisePrice($F16,$D16,$G16)</f>
        <v>17.034879684448242</v>
      </c>
      <c r="L16">
        <f ca="1">getStockPrice($B16)</f>
        <v>26.08</v>
      </c>
      <c r="M16" s="27">
        <f ca="1">POWER(K16*2/L16,1/2)-1</f>
        <v>0.14295923112861053</v>
      </c>
      <c r="N16" s="27">
        <f ca="1">getMinPercent($F16, $E16, $G16, $L16)</f>
        <v>-5.6250556260856288E-2</v>
      </c>
      <c r="O16" s="27">
        <f ca="1">POWER(H16*J16/L16,1/2)-1</f>
        <v>8.0512687899432667E-2</v>
      </c>
      <c r="P16" s="27">
        <f ca="1">POWER(I16*J16/L16,1/2)-1</f>
        <v>-0.16435341517844615</v>
      </c>
      <c r="Q16" s="56">
        <v>3.8300000000000001E-2</v>
      </c>
      <c r="R16" s="56">
        <v>2.1100000000000001E-2</v>
      </c>
      <c r="S16" s="56">
        <v>3.8100000000000002E-2</v>
      </c>
      <c r="T16" s="56">
        <v>0.25919999999999999</v>
      </c>
      <c r="U16" s="56">
        <v>0.25940000000000002</v>
      </c>
      <c r="V16" s="18">
        <v>0.34110000000000001</v>
      </c>
      <c r="AC16" s="73"/>
      <c r="AD16" s="73"/>
      <c r="AE16" s="73"/>
      <c r="AF16" s="73"/>
      <c r="AG16" s="73"/>
      <c r="AH16" s="73"/>
      <c r="AI16" s="73"/>
      <c r="AJ16" s="73"/>
      <c r="AK16" s="73"/>
      <c r="AL16" s="73"/>
      <c r="AM16" s="73"/>
      <c r="AN16" s="73"/>
      <c r="AO16" s="73"/>
    </row>
    <row r="17" spans="1:41" ht="14.25" customHeight="1" thickBot="1" x14ac:dyDescent="0.2">
      <c r="A17" s="58">
        <f ca="1">TODAY()</f>
        <v>43881</v>
      </c>
      <c r="B17" s="71" t="s">
        <v>39</v>
      </c>
      <c r="C17" t="str">
        <f>getStockName($B17)</f>
        <v>片仔癀</v>
      </c>
      <c r="D17">
        <v>52.3</v>
      </c>
      <c r="E17">
        <v>31.06</v>
      </c>
      <c r="F17">
        <v>18.329999999999998</v>
      </c>
      <c r="G17">
        <v>6.03</v>
      </c>
      <c r="H17">
        <v>9.11</v>
      </c>
      <c r="I17">
        <v>5.04</v>
      </c>
      <c r="J17">
        <v>12.83</v>
      </c>
      <c r="K17" s="25">
        <f>getAdvisePrice($F17,$D17,$G17)</f>
        <v>79.490791320800781</v>
      </c>
      <c r="L17">
        <f ca="1">getStockPrice($B17)</f>
        <v>126.01</v>
      </c>
      <c r="M17" s="27">
        <f ca="1">POWER(K17*2/L17,1/2)-1</f>
        <v>0.12323571024509028</v>
      </c>
      <c r="N17" s="29">
        <f ca="1">getMinPercent($F17, $E17, $G17, $L17)</f>
        <v>-0.13439295890928704</v>
      </c>
      <c r="O17" s="29">
        <f ca="1">POWER(H17*J17/L17,1/2)-1</f>
        <v>-3.6903042501074568E-2</v>
      </c>
      <c r="P17" s="29">
        <f ca="1">POWER(I17*J17/L17,1/2)-1</f>
        <v>-0.28364863853443711</v>
      </c>
      <c r="Q17" s="18">
        <v>0.2107</v>
      </c>
      <c r="R17" s="18">
        <v>0.20399999999999999</v>
      </c>
      <c r="S17" s="18">
        <v>0.2145</v>
      </c>
      <c r="T17" s="18">
        <v>0.2833</v>
      </c>
      <c r="U17" s="18">
        <v>0.30649999999999999</v>
      </c>
      <c r="V17" s="18">
        <v>0.37140000000000001</v>
      </c>
      <c r="AC17" s="73"/>
      <c r="AD17" s="73"/>
      <c r="AE17" s="73"/>
      <c r="AF17" s="73"/>
      <c r="AG17" s="73"/>
      <c r="AH17" s="73"/>
      <c r="AI17" s="73"/>
      <c r="AJ17" s="73"/>
      <c r="AK17" s="73"/>
      <c r="AL17" s="73"/>
      <c r="AM17" s="73"/>
      <c r="AN17" s="73"/>
      <c r="AO17" s="73"/>
    </row>
    <row r="18" spans="1:41" ht="14.25" customHeight="1" thickBot="1" x14ac:dyDescent="0.2">
      <c r="A18" s="58">
        <f ca="1">TODAY()</f>
        <v>43881</v>
      </c>
      <c r="B18" s="26" t="s">
        <v>38</v>
      </c>
      <c r="C18" t="str">
        <f>getStockName($B18)</f>
        <v>洋河股份</v>
      </c>
      <c r="D18">
        <v>20.22</v>
      </c>
      <c r="E18">
        <v>13.9</v>
      </c>
      <c r="F18">
        <v>94.3</v>
      </c>
      <c r="G18">
        <v>15.07</v>
      </c>
      <c r="H18">
        <v>4.54</v>
      </c>
      <c r="I18">
        <v>3.26</v>
      </c>
      <c r="J18">
        <v>28.62</v>
      </c>
      <c r="K18" s="25">
        <f>getAdvisePrice($F18,$D18,$G18)</f>
        <v>63.262973785400391</v>
      </c>
      <c r="L18">
        <f ca="1">getStockPrice($B18)</f>
        <v>103.63</v>
      </c>
      <c r="M18" s="27">
        <f ca="1">POWER(K18*2/L18,1/2)-1</f>
        <v>0.10496125558619718</v>
      </c>
      <c r="N18" s="27">
        <f ca="1">getMinPercent($F18, $E18, $G18, $L18)</f>
        <v>-8.3855702958246736E-2</v>
      </c>
      <c r="O18" s="27">
        <f ca="1">POWER(H18*J18/L18,1/2)-1</f>
        <v>0.11974721785854814</v>
      </c>
      <c r="P18" s="27">
        <f ca="1">POWER(I18*J18/L18,1/2)-1</f>
        <v>-5.114278194008437E-2</v>
      </c>
      <c r="Q18" s="56">
        <v>6.3E-3</v>
      </c>
      <c r="R18" s="56">
        <v>0.10009999999999999</v>
      </c>
      <c r="S18" s="56">
        <v>0.14180000000000001</v>
      </c>
      <c r="T18" s="56">
        <v>0.21299999999999999</v>
      </c>
      <c r="U18" s="56">
        <v>0.2422</v>
      </c>
      <c r="V18" s="56">
        <v>0.26119999999999999</v>
      </c>
    </row>
    <row r="19" spans="1:41" ht="14.25" customHeight="1" thickBot="1" x14ac:dyDescent="0.2">
      <c r="A19" s="58">
        <f ca="1">TODAY()</f>
        <v>43881</v>
      </c>
      <c r="B19" s="26" t="s">
        <v>40</v>
      </c>
      <c r="C19" t="str">
        <f>getStockName($B19)</f>
        <v>福耀玻璃</v>
      </c>
      <c r="D19">
        <v>15.26</v>
      </c>
      <c r="E19">
        <v>9.4</v>
      </c>
      <c r="F19">
        <v>38.54</v>
      </c>
      <c r="G19">
        <v>20.03</v>
      </c>
      <c r="H19">
        <v>2.83</v>
      </c>
      <c r="I19">
        <v>1.79</v>
      </c>
      <c r="J19">
        <v>9.48</v>
      </c>
      <c r="K19" s="25">
        <f>getAdvisePrice($F19,$D19,$G19)</f>
        <v>14.680988311767578</v>
      </c>
      <c r="L19">
        <f ca="1">getStockPrice($B19)</f>
        <v>24.79</v>
      </c>
      <c r="M19" s="27">
        <f ca="1">POWER(K19*2/L19,1/2)-1</f>
        <v>8.8314413368262512E-2</v>
      </c>
      <c r="N19" s="27">
        <f ca="1">getMinPercent($F19, $E19, $G19, $L19)</f>
        <v>-0.14583646944076145</v>
      </c>
      <c r="O19" s="27">
        <f ca="1">POWER(H19*J19/L19,1/2)-1</f>
        <v>4.0301256519599038E-2</v>
      </c>
      <c r="P19" s="27">
        <f ca="1">POWER(I19*J19/L19,1/2)-1</f>
        <v>-0.17264399996941604</v>
      </c>
      <c r="Q19" s="18">
        <v>3.3799999999999997E-2</v>
      </c>
      <c r="R19" s="18">
        <v>0.02</v>
      </c>
      <c r="S19" s="18">
        <v>3.9100000000000003E-2</v>
      </c>
      <c r="T19" s="18">
        <v>8.0799999999999997E-2</v>
      </c>
      <c r="U19" s="18">
        <v>0.1288</v>
      </c>
      <c r="V19" s="18">
        <v>0.15740000000000001</v>
      </c>
    </row>
    <row r="20" spans="1:41" ht="14.25" customHeight="1" thickBot="1" x14ac:dyDescent="0.2">
      <c r="A20" s="58">
        <f ca="1">TODAY()</f>
        <v>43881</v>
      </c>
      <c r="B20" s="26" t="s">
        <v>41</v>
      </c>
      <c r="C20" t="str">
        <f>getStockName($B20)</f>
        <v>兴业银行</v>
      </c>
      <c r="D20">
        <v>6.02</v>
      </c>
      <c r="E20">
        <v>4.79</v>
      </c>
      <c r="F20">
        <v>722.68</v>
      </c>
      <c r="G20">
        <v>207.74</v>
      </c>
      <c r="H20">
        <v>0.88</v>
      </c>
      <c r="I20">
        <v>0.7</v>
      </c>
      <c r="J20">
        <v>26.42</v>
      </c>
      <c r="K20" s="25">
        <f>getAdvisePrice($F20,$D20,$G20)</f>
        <v>10.471101760864258</v>
      </c>
      <c r="L20">
        <f ca="1">getStockPrice($B20)</f>
        <v>17.940000000000001</v>
      </c>
      <c r="M20" s="64">
        <f ca="1">POWER(K20*2/L20,1/2)-1</f>
        <v>8.0438294196245153E-2</v>
      </c>
      <c r="N20" s="27">
        <f ca="1">getMinPercent($F20, $E20, $G20, $L20)</f>
        <v>-3.6238716928571835E-2</v>
      </c>
      <c r="O20" s="64">
        <f ca="1">POWER(H20*J20/L20,1/2)-1</f>
        <v>0.13840428913876757</v>
      </c>
      <c r="P20" s="64">
        <f ca="1">POWER(I20*J20/L20,1/2)-1</f>
        <v>1.5322960190209178E-2</v>
      </c>
      <c r="Q20" s="18">
        <v>0.1918</v>
      </c>
      <c r="R20" s="18">
        <v>0.22509999999999999</v>
      </c>
      <c r="S20" s="18">
        <v>0.3478</v>
      </c>
      <c r="T20" s="18">
        <v>0.1308</v>
      </c>
      <c r="U20" s="18">
        <v>0.1095</v>
      </c>
      <c r="V20" s="18">
        <v>7.3599999999999999E-2</v>
      </c>
    </row>
    <row r="21" spans="1:41" ht="14.25" customHeight="1" thickBot="1" x14ac:dyDescent="0.2">
      <c r="A21" s="58">
        <f ca="1">TODAY()</f>
        <v>43881</v>
      </c>
      <c r="B21" t="s">
        <v>42</v>
      </c>
      <c r="C21" t="str">
        <f>getStockName($B21)</f>
        <v>招商银行</v>
      </c>
      <c r="D21">
        <v>7.99</v>
      </c>
      <c r="E21">
        <v>4.55</v>
      </c>
      <c r="F21">
        <v>1056.26</v>
      </c>
      <c r="G21">
        <v>206.29</v>
      </c>
      <c r="H21">
        <v>1.36</v>
      </c>
      <c r="I21">
        <v>0.88</v>
      </c>
      <c r="J21">
        <v>25.88</v>
      </c>
      <c r="K21" s="25">
        <f>getAdvisePrice($F21,$D21,$G21)</f>
        <v>20.455469131469727</v>
      </c>
      <c r="L21">
        <f ca="1">getStockPrice($B21)</f>
        <v>35.6</v>
      </c>
      <c r="M21" s="27">
        <f ca="1">POWER(K21*2/L21,1/2)-1</f>
        <v>7.1999840984751762E-2</v>
      </c>
      <c r="N21" s="27">
        <f ca="1">getMinPercent($F21, $E21, $G21, $L21)</f>
        <v>-0.19103998553481716</v>
      </c>
      <c r="O21" s="27">
        <f ca="1">POWER(H21*J21/L21,1/2)-1</f>
        <v>-5.6790471365039119E-3</v>
      </c>
      <c r="P21" s="27">
        <f ca="1">POWER(I21*J21/L21,1/2)-1</f>
        <v>-0.20016855708302406</v>
      </c>
      <c r="Q21" s="60">
        <v>0.1036</v>
      </c>
      <c r="R21" s="60">
        <v>9.64E-2</v>
      </c>
      <c r="S21" s="60">
        <v>0.12139999999999999</v>
      </c>
      <c r="T21" s="60">
        <v>0.12520000000000001</v>
      </c>
      <c r="U21" s="60">
        <v>0.1321</v>
      </c>
      <c r="V21" s="60">
        <v>0.11749999999999999</v>
      </c>
    </row>
    <row r="22" spans="1:41" ht="14.25" customHeight="1" thickBot="1" x14ac:dyDescent="0.2">
      <c r="A22" s="58">
        <f ca="1">TODAY()</f>
        <v>43881</v>
      </c>
      <c r="B22" s="26" t="s">
        <v>44</v>
      </c>
      <c r="C22" t="str">
        <f>getStockName($B22)</f>
        <v>海尔智家</v>
      </c>
      <c r="D22">
        <v>13.67</v>
      </c>
      <c r="E22">
        <v>9.98</v>
      </c>
      <c r="F22">
        <v>93.89</v>
      </c>
      <c r="G22">
        <v>63.09</v>
      </c>
      <c r="H22">
        <v>2.76</v>
      </c>
      <c r="I22">
        <v>1.87</v>
      </c>
      <c r="J22">
        <v>8.43</v>
      </c>
      <c r="K22" s="25">
        <f>getAdvisePrice($F22,$D22,$G22)</f>
        <v>10.171788215637207</v>
      </c>
      <c r="L22">
        <f ca="1">getStockPrice($B22)</f>
        <v>18.27</v>
      </c>
      <c r="M22" s="27">
        <f ca="1">POWER(K22*2/L22,1/2)-1</f>
        <v>5.5223316138587997E-2</v>
      </c>
      <c r="N22" s="27">
        <f ca="1">getMinPercent($F22, $E22, $G22, $L22)</f>
        <v>-9.8376162060920147E-2</v>
      </c>
      <c r="O22" s="27">
        <f ca="1">POWER(H22*J22/L22,1/2)-1</f>
        <v>0.12849348112685721</v>
      </c>
      <c r="P22" s="27">
        <f ca="1">POWER(I22*J22/L22,1/2)-1</f>
        <v>-7.1107798237117881E-2</v>
      </c>
      <c r="Q22" s="56">
        <v>7.7200000000000005E-2</v>
      </c>
      <c r="R22" s="56">
        <v>9.3799999999999994E-2</v>
      </c>
      <c r="S22" s="56">
        <v>0.1017</v>
      </c>
      <c r="T22" s="56">
        <v>0.1217</v>
      </c>
      <c r="U22" s="56">
        <v>0.12770000000000001</v>
      </c>
      <c r="V22" s="18">
        <v>0.1419</v>
      </c>
    </row>
    <row r="23" spans="1:41" ht="14.25" customHeight="1" thickBot="1" x14ac:dyDescent="0.2">
      <c r="A23" s="58">
        <f ca="1">TODAY()</f>
        <v>43881</v>
      </c>
      <c r="B23" s="26" t="s">
        <v>43</v>
      </c>
      <c r="C23" t="str">
        <f>getStockName($B23)</f>
        <v>海康威视</v>
      </c>
      <c r="D23">
        <v>25.63</v>
      </c>
      <c r="E23">
        <v>17.2</v>
      </c>
      <c r="F23">
        <v>154.82</v>
      </c>
      <c r="G23">
        <v>93.45</v>
      </c>
      <c r="H23">
        <v>8.27</v>
      </c>
      <c r="I23">
        <v>5.65</v>
      </c>
      <c r="J23">
        <v>6.3</v>
      </c>
      <c r="K23" s="25">
        <f>getAdvisePrice($F23,$D23,$G23)</f>
        <v>21.230800628662109</v>
      </c>
      <c r="L23">
        <f ca="1">getStockPrice($B23)</f>
        <v>38.799999999999997</v>
      </c>
      <c r="M23" s="27">
        <f ca="1">POWER(K23*2/L23,1/2)-1</f>
        <v>4.6121965368226991E-2</v>
      </c>
      <c r="N23" s="27">
        <f ca="1">getMinPercent($F23, $E23, $G23, $L23)</f>
        <v>-0.14301687424152965</v>
      </c>
      <c r="O23" s="27">
        <f ca="1">POWER(H23*J23/L23,1/2)-1</f>
        <v>0.15879647839925526</v>
      </c>
      <c r="P23" s="27">
        <f ca="1">POWER(I23*J23/L23,1/2)-1</f>
        <v>-4.2191612473301165E-2</v>
      </c>
      <c r="Q23" s="57">
        <v>0.17860000000000001</v>
      </c>
      <c r="R23" s="57">
        <v>0.14599999999999999</v>
      </c>
      <c r="S23" s="56">
        <v>6.1699999999999998E-2</v>
      </c>
      <c r="T23" s="56">
        <v>0.1893</v>
      </c>
      <c r="U23" s="56">
        <v>0.219</v>
      </c>
      <c r="V23" s="56">
        <v>0.26919999999999999</v>
      </c>
    </row>
    <row r="24" spans="1:41" ht="14.25" customHeight="1" thickBot="1" x14ac:dyDescent="0.2">
      <c r="A24" s="58">
        <f ca="1">TODAY()</f>
        <v>43881</v>
      </c>
      <c r="B24" s="26" t="s">
        <v>45</v>
      </c>
      <c r="C24" t="str">
        <f>getStockName($B24)</f>
        <v>上汽集团</v>
      </c>
      <c r="D24">
        <v>8.7899999999999991</v>
      </c>
      <c r="E24">
        <v>5.47</v>
      </c>
      <c r="F24">
        <v>321.60000000000002</v>
      </c>
      <c r="G24">
        <v>116.83</v>
      </c>
      <c r="H24">
        <v>1.46</v>
      </c>
      <c r="I24">
        <v>0.94</v>
      </c>
      <c r="J24">
        <v>22.94</v>
      </c>
      <c r="K24" s="25">
        <f>getAdvisePrice($F24,$D24,$G24)</f>
        <v>12.098194122314453</v>
      </c>
      <c r="L24">
        <f ca="1">getStockPrice($B24)</f>
        <v>22.88</v>
      </c>
      <c r="M24" s="27">
        <f ca="1">POWER(K24*2/L24,1/2)-1</f>
        <v>2.8364940695307483E-2</v>
      </c>
      <c r="N24" s="27">
        <f ca="1">getMinPercent($F24, $E24, $G24, $L24)</f>
        <v>-0.18876536328467663</v>
      </c>
      <c r="O24" s="27">
        <f ca="1">POWER(H24*J24/L24,1/2)-1</f>
        <v>0.20988787551932742</v>
      </c>
      <c r="P24" s="27">
        <f ca="1">POWER(I24*J24/L24,1/2)-1</f>
        <v>-2.9193616128820987E-2</v>
      </c>
      <c r="Q24" s="57">
        <v>-0.13250000000000001</v>
      </c>
      <c r="R24" s="18">
        <v>-0.1905</v>
      </c>
      <c r="S24" s="18">
        <v>-0.1618</v>
      </c>
      <c r="T24" s="18">
        <v>3.6200000000000003E-2</v>
      </c>
      <c r="U24" s="18">
        <v>0.10970000000000001</v>
      </c>
      <c r="V24" s="18">
        <v>0.17269999999999999</v>
      </c>
    </row>
    <row r="25" spans="1:41" ht="14.25" customHeight="1" thickBot="1" x14ac:dyDescent="0.2">
      <c r="A25" s="58">
        <f ca="1">TODAY()</f>
        <v>43881</v>
      </c>
      <c r="B25" s="26" t="s">
        <v>47</v>
      </c>
      <c r="C25" t="str">
        <f>getStockName($B25)</f>
        <v>云南白药</v>
      </c>
      <c r="D25">
        <v>27.49</v>
      </c>
      <c r="E25">
        <v>20.89</v>
      </c>
      <c r="F25">
        <v>40</v>
      </c>
      <c r="G25">
        <v>12.77</v>
      </c>
      <c r="H25">
        <v>5.28</v>
      </c>
      <c r="I25">
        <v>3.72</v>
      </c>
      <c r="J25">
        <v>20.9</v>
      </c>
      <c r="K25" s="25">
        <f>getAdvisePrice($F25,$D25,$G25)</f>
        <v>43.054031372070313</v>
      </c>
      <c r="L25">
        <f ca="1">getStockPrice($B25)</f>
        <v>82.22</v>
      </c>
      <c r="M25" s="27">
        <f ca="1">POWER(K25*2/L25,1/2)-1</f>
        <v>2.3371158309249296E-2</v>
      </c>
      <c r="N25" s="27">
        <f ca="1">getMinPercent($F25, $E25, $G25, $L25)</f>
        <v>-0.10789697203705584</v>
      </c>
      <c r="O25" s="27">
        <f ca="1">POWER(H25*J25/L25,1/2)-1</f>
        <v>0.15851421803256471</v>
      </c>
      <c r="P25" s="27">
        <f ca="1">POWER(I25*J25/L25,1/2)-1</f>
        <v>-2.7575534659378009E-2</v>
      </c>
      <c r="Q25" s="18">
        <v>8.3599999999999994E-2</v>
      </c>
      <c r="R25" s="18">
        <v>5.7200000000000001E-2</v>
      </c>
      <c r="S25" s="18">
        <v>0.1004</v>
      </c>
      <c r="T25" s="18">
        <v>9.8400000000000001E-2</v>
      </c>
      <c r="U25" s="18">
        <v>9.5299999999999996E-2</v>
      </c>
      <c r="V25" s="18">
        <v>8.4699999999999998E-2</v>
      </c>
    </row>
    <row r="26" spans="1:41" ht="14.25" customHeight="1" thickBot="1" x14ac:dyDescent="0.2">
      <c r="A26" s="58">
        <f ca="1">TODAY()</f>
        <v>43881</v>
      </c>
      <c r="B26" s="26" t="s">
        <v>46</v>
      </c>
      <c r="C26" t="str">
        <f>getStockName($B26)</f>
        <v>中国国旅</v>
      </c>
      <c r="D26">
        <v>33.17</v>
      </c>
      <c r="E26">
        <v>24.82</v>
      </c>
      <c r="F26">
        <v>51.71</v>
      </c>
      <c r="G26">
        <v>19.52</v>
      </c>
      <c r="H26">
        <v>5.08</v>
      </c>
      <c r="I26">
        <v>3.36</v>
      </c>
      <c r="J26">
        <v>12.44</v>
      </c>
      <c r="K26" s="25">
        <f>getAdvisePrice($F26,$D26,$G26)</f>
        <v>43.934951782226563</v>
      </c>
      <c r="L26">
        <f ca="1">getStockPrice($B26)</f>
        <v>85.65</v>
      </c>
      <c r="M26" s="27">
        <f ca="1">POWER(K26*2/L26,1/2)-1</f>
        <v>1.287625781921653E-2</v>
      </c>
      <c r="N26" s="27">
        <f ca="1">getMinPercent($F26, $E26, $G26, $L26)</f>
        <v>-0.12383772118949266</v>
      </c>
      <c r="O26" s="27">
        <f ca="1">POWER(H26*J26/L26,1/2)-1</f>
        <v>-0.1410292750255655</v>
      </c>
      <c r="P26" s="27">
        <f ca="1">POWER(I26*J26/L26,1/2)-1</f>
        <v>-0.30142000421721149</v>
      </c>
      <c r="Q26" s="56">
        <v>4.3499999999999997E-2</v>
      </c>
      <c r="R26" s="56">
        <v>0.15459999999999999</v>
      </c>
      <c r="S26" s="56">
        <v>0.54720000000000002</v>
      </c>
      <c r="T26" s="18">
        <v>0.66210000000000002</v>
      </c>
      <c r="U26" s="18">
        <v>0.64390000000000003</v>
      </c>
      <c r="V26" s="18">
        <v>0.67769999999999997</v>
      </c>
    </row>
    <row r="27" spans="1:41" ht="14.25" customHeight="1" thickBot="1" x14ac:dyDescent="0.2">
      <c r="A27" s="58">
        <f ca="1">TODAY()</f>
        <v>43881</v>
      </c>
      <c r="B27" s="71" t="s">
        <v>50</v>
      </c>
      <c r="C27" t="str">
        <f>getStockName($B27)</f>
        <v>伊利股份</v>
      </c>
      <c r="D27">
        <v>23.8</v>
      </c>
      <c r="E27">
        <v>18.07</v>
      </c>
      <c r="F27">
        <v>77.760000000000005</v>
      </c>
      <c r="G27">
        <v>60.96</v>
      </c>
      <c r="H27">
        <v>5.51</v>
      </c>
      <c r="I27">
        <v>4.03</v>
      </c>
      <c r="J27">
        <v>5.6</v>
      </c>
      <c r="K27" s="25">
        <f>getAdvisePrice($F27,$D27,$G27)</f>
        <v>15.179527282714844</v>
      </c>
      <c r="L27">
        <f ca="1">getStockPrice($B27)</f>
        <v>30.58</v>
      </c>
      <c r="M27" s="64">
        <f ca="1">POWER(K27*2/L27,1/2)-1</f>
        <v>-3.6191297329798422E-3</v>
      </c>
      <c r="N27" s="27">
        <f ca="1">getMinPercent($F27, $E27, $G27, $L27)</f>
        <v>-0.1318075823016196</v>
      </c>
      <c r="O27" s="64">
        <f ca="1">POWER(H27*J27/L27,1/2)-1</f>
        <v>4.5026166552446512E-3</v>
      </c>
      <c r="P27" s="64">
        <f ca="1">POWER(I27*J27/L27,1/2)-1</f>
        <v>-0.14093149751866318</v>
      </c>
      <c r="Q27" s="56">
        <v>0.1198</v>
      </c>
      <c r="R27" s="56">
        <v>0.12839999999999999</v>
      </c>
      <c r="S27" s="18">
        <v>0.17100000000000001</v>
      </c>
      <c r="T27" s="18">
        <v>0.16889999999999999</v>
      </c>
      <c r="U27" s="18">
        <v>0.16880000000000001</v>
      </c>
      <c r="V27" s="18">
        <v>0.19259999999999999</v>
      </c>
    </row>
    <row r="28" spans="1:41" ht="14.25" customHeight="1" thickBot="1" x14ac:dyDescent="0.2">
      <c r="A28" s="58">
        <f ca="1">TODAY()</f>
        <v>43881</v>
      </c>
      <c r="B28" s="26" t="s">
        <v>48</v>
      </c>
      <c r="C28" t="str">
        <f>getStockName($B28)</f>
        <v>美的集团</v>
      </c>
      <c r="D28">
        <v>13.8</v>
      </c>
      <c r="E28">
        <v>8.7799999999999994</v>
      </c>
      <c r="F28">
        <v>269.60000000000002</v>
      </c>
      <c r="G28">
        <v>69.87</v>
      </c>
      <c r="H28">
        <v>3.55</v>
      </c>
      <c r="I28">
        <v>2.31</v>
      </c>
      <c r="J28">
        <v>17.22</v>
      </c>
      <c r="K28" s="25">
        <f>getAdvisePrice($F28,$D28,$G28)</f>
        <v>26.624301910400391</v>
      </c>
      <c r="L28">
        <f ca="1">getStockPrice($B28)</f>
        <v>53.74</v>
      </c>
      <c r="M28" s="27">
        <f ca="1">POWER(K28*2/L28,1/2)-1</f>
        <v>-4.5824773984485256E-3</v>
      </c>
      <c r="N28" s="27">
        <f ca="1">getMinPercent($F28, $E28, $G28, $L28)</f>
        <v>-0.20601374875068845</v>
      </c>
      <c r="O28" s="27">
        <f ca="1">POWER(H28*J28/L28,1/2)-1</f>
        <v>6.6551716607305522E-2</v>
      </c>
      <c r="P28" s="27">
        <f ca="1">POWER(I28*J28/L28,1/2)-1</f>
        <v>-0.13965283402613826</v>
      </c>
      <c r="Q28" s="56">
        <v>6.93E-2</v>
      </c>
      <c r="R28" s="56">
        <v>7.3700000000000002E-2</v>
      </c>
      <c r="S28" s="56">
        <v>7.4200000000000002E-2</v>
      </c>
      <c r="T28" s="56">
        <v>8.2299999999999998E-2</v>
      </c>
      <c r="U28" s="56">
        <v>0.1046</v>
      </c>
      <c r="V28" s="56">
        <v>0.1502</v>
      </c>
    </row>
    <row r="29" spans="1:41" ht="14.25" customHeight="1" thickBot="1" x14ac:dyDescent="0.2">
      <c r="A29" s="58">
        <f ca="1">TODAY()</f>
        <v>43881</v>
      </c>
      <c r="B29" s="71" t="s">
        <v>49</v>
      </c>
      <c r="C29" t="str">
        <f>getStockName($B29)</f>
        <v>爱尔眼科</v>
      </c>
      <c r="D29">
        <v>69.89</v>
      </c>
      <c r="E29">
        <v>53.4</v>
      </c>
      <c r="F29">
        <v>18.2</v>
      </c>
      <c r="G29">
        <v>30.98</v>
      </c>
      <c r="H29">
        <v>13.01</v>
      </c>
      <c r="I29">
        <v>8.36</v>
      </c>
      <c r="J29">
        <v>2.69</v>
      </c>
      <c r="K29" s="25">
        <f>getAdvisePrice($F29,$D29,$G29)</f>
        <v>20.529342651367187</v>
      </c>
      <c r="L29">
        <f ca="1">getStockPrice($B29)</f>
        <v>41.9</v>
      </c>
      <c r="M29" s="27">
        <f ca="1">POWER(K29*2/L29,1/2)-1</f>
        <v>-1.0090463587678844E-2</v>
      </c>
      <c r="N29" s="27">
        <f ca="1">getMinPercent($F29, $E29, $G29, $L29)</f>
        <v>-0.13471611618175072</v>
      </c>
      <c r="O29" s="27">
        <f ca="1">POWER(H29*J29/L29,1/2)-1</f>
        <v>-8.6080851484188314E-2</v>
      </c>
      <c r="P29" s="27">
        <f ca="1">POWER(I29*J29/L29,1/2)-1</f>
        <v>-0.26739097026213177</v>
      </c>
      <c r="Q29" s="60">
        <v>0.26250000000000001</v>
      </c>
      <c r="R29" s="60">
        <v>0.25640000000000002</v>
      </c>
      <c r="S29" s="60">
        <v>0.28499999999999998</v>
      </c>
      <c r="T29" s="60">
        <v>0.34310000000000002</v>
      </c>
      <c r="U29" s="60">
        <v>0.39750000000000002</v>
      </c>
      <c r="V29" s="60">
        <v>0.45939999999999998</v>
      </c>
    </row>
    <row r="30" spans="1:41" ht="14.25" customHeight="1" thickBot="1" x14ac:dyDescent="0.2">
      <c r="A30" s="58">
        <f ca="1">TODAY()</f>
        <v>43881</v>
      </c>
      <c r="B30" s="26" t="s">
        <v>52</v>
      </c>
      <c r="C30" t="str">
        <f>getStockName($B30)</f>
        <v>宁波银行</v>
      </c>
      <c r="D30">
        <v>8.99</v>
      </c>
      <c r="E30">
        <v>5.27</v>
      </c>
      <c r="F30">
        <v>157.83000000000001</v>
      </c>
      <c r="G30">
        <v>56.28</v>
      </c>
      <c r="H30">
        <v>1.53</v>
      </c>
      <c r="I30">
        <v>1.07</v>
      </c>
      <c r="J30">
        <v>17.05</v>
      </c>
      <c r="K30" s="25">
        <f>getAdvisePrice($F30,$D30,$G30)</f>
        <v>12.605648040771484</v>
      </c>
      <c r="L30">
        <f ca="1">getStockPrice($B30)</f>
        <v>26.39</v>
      </c>
      <c r="M30" s="27">
        <f ca="1">POWER(K30*2/L30,1/2)-1</f>
        <v>-2.2587494545815989E-2</v>
      </c>
      <c r="N30" s="27">
        <f ca="1">getMinPercent($F30, $E30, $G30, $L30)</f>
        <v>-0.25165242127623089</v>
      </c>
      <c r="O30" s="27">
        <f ca="1">POWER(H30*J30/L30,1/2)-1</f>
        <v>-5.7669128404145287E-3</v>
      </c>
      <c r="P30" s="27">
        <f ca="1">POWER(I30*J30/L30,1/2)-1</f>
        <v>-0.16855335465097654</v>
      </c>
      <c r="Q30" s="60">
        <v>0.20369999999999999</v>
      </c>
      <c r="R30" s="60">
        <v>0.19739999999999999</v>
      </c>
      <c r="S30" s="60">
        <v>0.23430000000000001</v>
      </c>
      <c r="T30" s="60">
        <v>0.14280000000000001</v>
      </c>
      <c r="U30" s="60">
        <v>0.14119999999999999</v>
      </c>
      <c r="V30" s="60">
        <v>9.7900000000000001E-2</v>
      </c>
    </row>
    <row r="31" spans="1:41" ht="14.25" customHeight="1" thickBot="1" x14ac:dyDescent="0.2">
      <c r="A31" s="58">
        <f ca="1">TODAY()</f>
        <v>43881</v>
      </c>
      <c r="B31" s="26" t="s">
        <v>54</v>
      </c>
      <c r="C31" t="str">
        <f>getStockName($B31)</f>
        <v>长江电力</v>
      </c>
      <c r="D31">
        <v>15.92</v>
      </c>
      <c r="E31">
        <v>12.44</v>
      </c>
      <c r="F31">
        <v>228.64</v>
      </c>
      <c r="G31">
        <v>220</v>
      </c>
      <c r="H31">
        <v>2.59</v>
      </c>
      <c r="I31">
        <v>1.66</v>
      </c>
      <c r="J31">
        <v>7.18</v>
      </c>
      <c r="K31" s="25">
        <f>getAdvisePrice($F31,$D31,$G31)</f>
        <v>8.2726106643676758</v>
      </c>
      <c r="L31">
        <f ca="1">getStockPrice($B31)</f>
        <v>17.48</v>
      </c>
      <c r="M31" s="27">
        <f ca="1">POWER(K31*2/L31,1/2)-1</f>
        <v>-2.7105884841622352E-2</v>
      </c>
      <c r="N31" s="27">
        <f ca="1">getMinPercent($F31, $E31, $G31, $L31)</f>
        <v>-0.13998853863090233</v>
      </c>
      <c r="O31" s="27">
        <f ca="1">POWER(H31*J31/L31,1/2)-1</f>
        <v>3.1433873421013114E-2</v>
      </c>
      <c r="P31" s="27">
        <f ca="1">POWER(I31*J31/L31,1/2)-1</f>
        <v>-0.17425576180589974</v>
      </c>
      <c r="Q31" s="101"/>
      <c r="R31" s="102"/>
      <c r="S31" s="59"/>
      <c r="T31" s="59"/>
      <c r="U31" s="59"/>
      <c r="V31" s="59"/>
    </row>
    <row r="32" spans="1:41" ht="14.25" customHeight="1" thickBot="1" x14ac:dyDescent="0.2">
      <c r="A32" s="58">
        <f ca="1">TODAY()</f>
        <v>43881</v>
      </c>
      <c r="B32" s="26" t="s">
        <v>53</v>
      </c>
      <c r="C32" t="str">
        <f>getStockName($B32)</f>
        <v>格力电器</v>
      </c>
      <c r="D32">
        <v>11.04</v>
      </c>
      <c r="E32">
        <v>6.34</v>
      </c>
      <c r="F32">
        <v>317.95999999999998</v>
      </c>
      <c r="G32">
        <v>60.16</v>
      </c>
      <c r="H32">
        <v>3.38</v>
      </c>
      <c r="I32">
        <v>2.12</v>
      </c>
      <c r="J32">
        <v>21.62</v>
      </c>
      <c r="K32" s="25">
        <f>getAdvisePrice($F32,$D32,$G32)</f>
        <v>29.174520492553711</v>
      </c>
      <c r="L32">
        <f ca="1">getStockPrice($B32)</f>
        <v>61.99</v>
      </c>
      <c r="M32" s="27">
        <f ca="1">POWER(K32*2/L32,1/2)-1</f>
        <v>-2.9811677418808746E-2</v>
      </c>
      <c r="N32" s="27">
        <f ca="1">getMinPercent($F32, $E32, $G32, $L32)</f>
        <v>-0.26478199313860462</v>
      </c>
      <c r="O32" s="27">
        <f ca="1">POWER(H32*J32/L32,1/2)-1</f>
        <v>8.5738846759124021E-2</v>
      </c>
      <c r="P32" s="27">
        <f ca="1">POWER(I32*J32/L32,1/2)-1</f>
        <v>-0.14012572338971507</v>
      </c>
      <c r="Q32" s="56">
        <v>4.4200000000000003E-2</v>
      </c>
      <c r="R32" s="56">
        <v>6.8900000000000003E-2</v>
      </c>
      <c r="S32" s="56">
        <v>2.4500000000000001E-2</v>
      </c>
      <c r="T32" s="18">
        <v>0.33329999999999999</v>
      </c>
      <c r="U32" s="18">
        <v>0.33939999999999998</v>
      </c>
      <c r="V32" s="18">
        <v>0.314</v>
      </c>
    </row>
    <row r="33" spans="1:24" ht="14.25" customHeight="1" thickBot="1" x14ac:dyDescent="0.2">
      <c r="A33" s="58">
        <f ca="1">TODAY()</f>
        <v>43881</v>
      </c>
      <c r="B33" s="71" t="s">
        <v>51</v>
      </c>
      <c r="C33" t="str">
        <f>getStockName($B33)</f>
        <v>上海机场</v>
      </c>
      <c r="D33">
        <v>23.75</v>
      </c>
      <c r="E33">
        <v>13.8</v>
      </c>
      <c r="F33">
        <v>56.1</v>
      </c>
      <c r="G33">
        <v>19.27</v>
      </c>
      <c r="H33">
        <v>3.11</v>
      </c>
      <c r="I33">
        <v>1.67</v>
      </c>
      <c r="J33">
        <v>19.07</v>
      </c>
      <c r="K33" s="25">
        <f>getAdvisePrice($F33,$D33,$G33)</f>
        <v>34.571224212646484</v>
      </c>
      <c r="L33">
        <f ca="1">getStockPrice($B33)</f>
        <v>73.94</v>
      </c>
      <c r="M33" s="27">
        <f ca="1">POWER(K33*2/L33,1/2)-1</f>
        <v>-3.2986239497603154E-2</v>
      </c>
      <c r="N33" s="27">
        <f ca="1">getMinPercent($F33, $E33, $G33, $L33)</f>
        <v>-0.26287629441686766</v>
      </c>
      <c r="O33" s="27">
        <f ca="1">POWER(H33*J33/L33,1/2)-1</f>
        <v>-0.10439642618612499</v>
      </c>
      <c r="P33" s="27">
        <f ca="1">POWER(I33*J33/L33,1/2)-1</f>
        <v>-0.34371291338355003</v>
      </c>
      <c r="Q33" s="63">
        <v>0.1895</v>
      </c>
      <c r="R33" s="60">
        <v>0.21110000000000001</v>
      </c>
      <c r="S33" s="60">
        <v>0.21640000000000001</v>
      </c>
      <c r="T33" s="60">
        <v>0.15509999999999999</v>
      </c>
      <c r="U33" s="60">
        <v>0.1484</v>
      </c>
      <c r="V33" s="60">
        <v>0.15570000000000001</v>
      </c>
    </row>
    <row r="34" spans="1:24" ht="14.25" customHeight="1" thickBot="1" x14ac:dyDescent="0.2">
      <c r="A34" s="58">
        <f ca="1">TODAY()</f>
        <v>43881</v>
      </c>
      <c r="B34" s="26" t="s">
        <v>57</v>
      </c>
      <c r="C34" t="str">
        <f>getStockName($B34)</f>
        <v>恒瑞医药</v>
      </c>
      <c r="D34">
        <v>51.74</v>
      </c>
      <c r="E34">
        <v>37.229999999999997</v>
      </c>
      <c r="F34">
        <v>68.150000000000006</v>
      </c>
      <c r="G34">
        <v>44.23</v>
      </c>
      <c r="H34">
        <v>10.68</v>
      </c>
      <c r="I34">
        <v>7.15</v>
      </c>
      <c r="J34">
        <v>7</v>
      </c>
      <c r="K34" s="25">
        <f>getAdvisePrice($F34,$D34,$G34)</f>
        <v>39.860740661621094</v>
      </c>
      <c r="L34">
        <f ca="1">getStockPrice($B34)</f>
        <v>90.39</v>
      </c>
      <c r="M34" s="27">
        <f ca="1">POWER(K34*2/L34,1/2)-1</f>
        <v>-6.0866166772545416E-2</v>
      </c>
      <c r="N34" s="27">
        <f ca="1">getMinPercent($F34, $E34, $G34, $L34)</f>
        <v>-0.20336241711775294</v>
      </c>
      <c r="O34" s="27">
        <f ca="1">POWER(H34*J34/L34,1/2)-1</f>
        <v>-9.0559159766197772E-2</v>
      </c>
      <c r="P34" s="27">
        <f ca="1">POWER(I34*J34/L34,1/2)-1</f>
        <v>-0.25588193559661854</v>
      </c>
      <c r="Q34" s="57">
        <v>0.36009999999999998</v>
      </c>
      <c r="R34" s="60">
        <v>0.29189999999999999</v>
      </c>
      <c r="S34" s="60">
        <v>0.28770000000000001</v>
      </c>
      <c r="T34" s="60">
        <v>0.25890000000000002</v>
      </c>
      <c r="U34" s="60">
        <v>0.23769999999999999</v>
      </c>
      <c r="V34" s="60">
        <v>0.22320000000000001</v>
      </c>
    </row>
    <row r="35" spans="1:24" ht="14.25" customHeight="1" thickBot="1" x14ac:dyDescent="0.2">
      <c r="A35" s="58">
        <f ca="1">TODAY()</f>
        <v>43881</v>
      </c>
      <c r="B35" s="71" t="s">
        <v>56</v>
      </c>
      <c r="C35" t="str">
        <f>getStockName($B35)</f>
        <v>贵州茅台</v>
      </c>
      <c r="D35">
        <v>24.91</v>
      </c>
      <c r="E35">
        <v>11.31</v>
      </c>
      <c r="F35">
        <v>495.22</v>
      </c>
      <c r="G35">
        <v>12.56</v>
      </c>
      <c r="H35">
        <v>6.87</v>
      </c>
      <c r="I35">
        <v>3.42</v>
      </c>
      <c r="J35">
        <v>167.01</v>
      </c>
      <c r="K35" s="25">
        <f>getAdvisePrice($F35,$D35,$G35)</f>
        <v>491.08001708984375</v>
      </c>
      <c r="L35">
        <f ca="1">getStockPrice($B35)</f>
        <v>1115.4100000000001</v>
      </c>
      <c r="M35" s="27">
        <f ca="1">POWER(K35*2/L35,1/2)-1</f>
        <v>-6.1630545994650898E-2</v>
      </c>
      <c r="N35" s="27">
        <f ca="1">getMinPercent($F35, $E35, $G35, $L35)</f>
        <v>-0.36770710972919385</v>
      </c>
      <c r="O35" s="27">
        <f ca="1">POWER(H35*J35/L35,1/2)-1</f>
        <v>1.4220395275879483E-2</v>
      </c>
      <c r="P35" s="27">
        <f ca="1">POWER(I35*J35/L35,1/2)-1</f>
        <v>-0.2844054502305956</v>
      </c>
      <c r="Q35" s="56">
        <v>0.15529999999999999</v>
      </c>
      <c r="R35" s="56">
        <v>0.16800000000000001</v>
      </c>
      <c r="S35" s="56">
        <v>0.22209999999999999</v>
      </c>
      <c r="T35" s="18">
        <v>0.26429999999999998</v>
      </c>
      <c r="U35" s="56">
        <v>0.2356</v>
      </c>
      <c r="V35" s="18">
        <v>0.38269999999999998</v>
      </c>
    </row>
    <row r="36" spans="1:24" ht="14.25" customHeight="1" thickBot="1" x14ac:dyDescent="0.2">
      <c r="A36" s="58">
        <f ca="1">TODAY()</f>
        <v>43881</v>
      </c>
      <c r="B36" s="26" t="s">
        <v>55</v>
      </c>
      <c r="C36" t="str">
        <f>getStockName($B36)</f>
        <v>五 粮 液</v>
      </c>
      <c r="D36">
        <v>20.53</v>
      </c>
      <c r="E36">
        <v>10.44</v>
      </c>
      <c r="F36">
        <v>213.65</v>
      </c>
      <c r="G36">
        <v>38.82</v>
      </c>
      <c r="H36">
        <v>3.45</v>
      </c>
      <c r="I36">
        <v>1.71</v>
      </c>
      <c r="J36">
        <v>23.01</v>
      </c>
      <c r="K36" s="25">
        <f>getAdvisePrice($F36,$D36,$G36)</f>
        <v>56.494522094726563</v>
      </c>
      <c r="L36">
        <f ca="1">getStockPrice($B36)</f>
        <v>129.97999999999999</v>
      </c>
      <c r="M36" s="27">
        <f ca="1">POWER(K36*2/L36,1/2)-1</f>
        <v>-6.76480121837576E-2</v>
      </c>
      <c r="N36" s="27">
        <f ca="1">getMinPercent($F36, $E36, $G36, $L36)</f>
        <v>-0.33513164933268402</v>
      </c>
      <c r="O36" s="27">
        <f ca="1">POWER(H36*J36/L36,1/2)-1</f>
        <v>-0.21849890556101936</v>
      </c>
      <c r="P36" s="27">
        <f ca="1">POWER(I36*J36/L36,1/2)-1</f>
        <v>-0.44980315178994901</v>
      </c>
      <c r="Q36" s="60">
        <v>0.26840000000000003</v>
      </c>
      <c r="R36" s="60">
        <v>0.26750000000000002</v>
      </c>
      <c r="S36" s="60">
        <v>0.26569999999999999</v>
      </c>
      <c r="T36" s="60">
        <v>0.3261</v>
      </c>
      <c r="U36" s="60">
        <v>0.33090000000000003</v>
      </c>
      <c r="V36" s="60">
        <v>0.37130000000000002</v>
      </c>
    </row>
    <row r="37" spans="1:24" ht="14.25" customHeight="1" thickBot="1" x14ac:dyDescent="0.2">
      <c r="A37" s="58">
        <f ca="1">TODAY()</f>
        <v>43881</v>
      </c>
      <c r="B37" s="26" t="s">
        <v>61</v>
      </c>
      <c r="C37" t="str">
        <f>getStockName($B37)</f>
        <v>海天味业</v>
      </c>
      <c r="D37">
        <v>38.5</v>
      </c>
      <c r="E37">
        <v>28.18</v>
      </c>
      <c r="F37">
        <v>62.93</v>
      </c>
      <c r="G37">
        <v>27</v>
      </c>
      <c r="H37">
        <v>12.06</v>
      </c>
      <c r="I37">
        <v>8.08</v>
      </c>
      <c r="J37">
        <v>7.96</v>
      </c>
      <c r="K37" s="25">
        <f>getAdvisePrice($F37,$D37,$G37)</f>
        <v>44.86676025390625</v>
      </c>
      <c r="L37">
        <f ca="1">getStockPrice($B37)</f>
        <v>104.2</v>
      </c>
      <c r="M37" s="27">
        <f ca="1">POWER(K37*2/L37,1/2)-1</f>
        <v>-7.2009577806203096E-2</v>
      </c>
      <c r="N37" s="27">
        <f ca="1">getMinPercent($F37, $E37, $G37, $L37)</f>
        <v>-0.2060674120566004</v>
      </c>
      <c r="O37" s="27">
        <f ca="1">POWER(H37*J37/L37,1/2)-1</f>
        <v>-4.0165561301277242E-2</v>
      </c>
      <c r="P37" s="27">
        <f ca="1">POWER(I37*J37/L37,1/2)-1</f>
        <v>-0.21435137497978063</v>
      </c>
      <c r="Q37" s="60">
        <v>0.16619999999999999</v>
      </c>
      <c r="R37" s="60">
        <v>0.1651</v>
      </c>
      <c r="S37" s="60">
        <v>0.16950000000000001</v>
      </c>
      <c r="T37" s="60">
        <v>0.16800000000000001</v>
      </c>
      <c r="U37" s="60">
        <v>0.17199999999999999</v>
      </c>
      <c r="V37" s="60">
        <v>0.1724</v>
      </c>
      <c r="W37" t="s">
        <v>59</v>
      </c>
      <c r="X37" t="s">
        <v>60</v>
      </c>
    </row>
    <row r="38" spans="1:24" ht="14.25" customHeight="1" thickBot="1" x14ac:dyDescent="0.2">
      <c r="A38" s="58">
        <f ca="1">TODAY()</f>
        <v>43881</v>
      </c>
      <c r="B38" s="23" t="s">
        <v>58</v>
      </c>
      <c r="C38" t="str">
        <f>getStockName($B38)</f>
        <v>分众传媒</v>
      </c>
      <c r="D38">
        <v>21.88</v>
      </c>
      <c r="E38">
        <v>10.68</v>
      </c>
      <c r="F38">
        <v>32.130000000000003</v>
      </c>
      <c r="G38">
        <v>146.78</v>
      </c>
      <c r="H38">
        <v>12.37</v>
      </c>
      <c r="I38">
        <v>4.4400000000000004</v>
      </c>
      <c r="J38">
        <v>5.89</v>
      </c>
      <c r="K38" s="25">
        <f>getAdvisePrice($F38,$D38,$G38)</f>
        <v>2.3947553634643555</v>
      </c>
      <c r="L38">
        <f ca="1">getStockPrice($B38)</f>
        <v>5.64</v>
      </c>
      <c r="M38" s="27">
        <f ca="1">POWER(K38*2/L38,1/2)-1</f>
        <v>-7.8477330936840617E-2</v>
      </c>
      <c r="N38" s="27">
        <f ca="1">getMinPercent($F38, $E38, $G38, $L38)</f>
        <v>-0.35617473419284107</v>
      </c>
      <c r="O38" s="27">
        <f ca="1">POWER(H38*J38/L38,1/2)-1</f>
        <v>2.5942058375720332</v>
      </c>
      <c r="P38" s="27">
        <f ca="1">POWER(I38*J38/L38,1/2)-1</f>
        <v>1.1533249895541311</v>
      </c>
      <c r="Q38" s="18">
        <v>-0.1812</v>
      </c>
      <c r="R38" s="56">
        <v>-0.19600000000000001</v>
      </c>
      <c r="S38" s="56">
        <v>-0.1178</v>
      </c>
      <c r="T38" s="56">
        <v>0.2112</v>
      </c>
      <c r="U38" s="56">
        <v>0.24590000000000001</v>
      </c>
      <c r="V38" s="56">
        <v>0.26050000000000001</v>
      </c>
    </row>
    <row r="39" spans="1:24" ht="14.25" customHeight="1" thickBot="1" x14ac:dyDescent="0.2">
      <c r="A39" s="58">
        <f ca="1">TODAY()</f>
        <v>43881</v>
      </c>
      <c r="B39" s="26" t="s">
        <v>62</v>
      </c>
      <c r="C39" t="str">
        <f>getStockName($B39)</f>
        <v>平安银行</v>
      </c>
      <c r="D39">
        <v>7.63</v>
      </c>
      <c r="E39">
        <v>5.95</v>
      </c>
      <c r="F39">
        <v>323.41000000000003</v>
      </c>
      <c r="G39">
        <v>194.06</v>
      </c>
      <c r="H39">
        <v>0.98</v>
      </c>
      <c r="J39">
        <v>17.22</v>
      </c>
      <c r="K39" s="25">
        <f>getAdvisePrice($F39,$D39,$G39)</f>
        <v>6.357874870300293</v>
      </c>
      <c r="L39">
        <f ca="1">getStockPrice($B39)</f>
        <v>15.28</v>
      </c>
      <c r="M39" s="27">
        <f ca="1">POWER(K39*2/L39,1/2)-1</f>
        <v>-8.7759585061791268E-2</v>
      </c>
      <c r="N39" s="27">
        <f ca="1">getMinPercent($F39, $E39, $G39, $L39)</f>
        <v>-0.19442585981800786</v>
      </c>
      <c r="O39" s="27">
        <f ca="1">POWER(H39*J39/L39,1/2)-1</f>
        <v>5.0915830963466524E-2</v>
      </c>
      <c r="P39" s="27">
        <f ca="1">POWER(I39*J39/L39,1/2)-1</f>
        <v>-1</v>
      </c>
      <c r="Q39" s="57">
        <v>0.188</v>
      </c>
      <c r="R39" s="57">
        <v>0.185</v>
      </c>
      <c r="S39" s="57">
        <v>0.1588</v>
      </c>
      <c r="T39" s="57">
        <v>0.1033</v>
      </c>
      <c r="U39" s="57">
        <v>8.5599999999999996E-2</v>
      </c>
      <c r="V39" s="57">
        <v>5.8700000000000002E-2</v>
      </c>
    </row>
    <row r="40" spans="1:24" ht="14.25" customHeight="1" thickBot="1" x14ac:dyDescent="0.2">
      <c r="A40" s="58">
        <f ca="1">TODAY()</f>
        <v>43881</v>
      </c>
      <c r="B40" s="71" t="s">
        <v>63</v>
      </c>
      <c r="C40" t="str">
        <f>getStockName($B40)</f>
        <v>双汇发展</v>
      </c>
      <c r="D40">
        <v>16.93</v>
      </c>
      <c r="E40">
        <v>13.29</v>
      </c>
      <c r="F40">
        <v>57.59</v>
      </c>
      <c r="G40">
        <v>33.19</v>
      </c>
      <c r="H40">
        <v>5.29</v>
      </c>
      <c r="I40">
        <v>3.49</v>
      </c>
      <c r="J40">
        <v>5.3</v>
      </c>
      <c r="K40" s="25">
        <f>getAdvisePrice($F40,$D40,$G40)</f>
        <v>14.688140869140625</v>
      </c>
      <c r="L40">
        <f ca="1">getStockPrice($B40)</f>
        <v>35.409999999999997</v>
      </c>
      <c r="M40" s="27">
        <f ca="1">POWER(K40*2/L40,1/2)-1</f>
        <v>-8.9173937714800311E-2</v>
      </c>
      <c r="N40" s="27">
        <f ca="1">getMinPercent($F40, $E40, $G40, $L40)</f>
        <v>-0.19300759009085688</v>
      </c>
      <c r="O40" s="27">
        <f ca="1">POWER(H40*J40/L40,1/2)-1</f>
        <v>-0.11017867945816118</v>
      </c>
      <c r="P40" s="27">
        <f ca="1">POWER(I40*J40/L40,1/2)-1</f>
        <v>-0.27725069137510516</v>
      </c>
      <c r="Q40" s="57">
        <v>0.14649999999999999</v>
      </c>
      <c r="R40" s="57">
        <v>7.2599999999999998E-2</v>
      </c>
      <c r="S40" s="57">
        <v>-7.1000000000000004E-3</v>
      </c>
      <c r="T40" s="18">
        <v>-3.2500000000000001E-2</v>
      </c>
      <c r="U40" s="18">
        <v>-1.83E-2</v>
      </c>
      <c r="V40" s="18">
        <v>-1.2999999999999999E-2</v>
      </c>
    </row>
    <row r="43" spans="1:24" ht="13.5" customHeight="1" x14ac:dyDescent="0.15"/>
  </sheetData>
  <mergeCells count="1">
    <mergeCell ref="AC12:AO17"/>
  </mergeCells>
  <phoneticPr fontId="1" type="noConversion"/>
  <conditionalFormatting sqref="L2:L40">
    <cfRule type="cellIs" dxfId="11" priority="5" operator="greaterThan">
      <formula>$K2*2</formula>
    </cfRule>
    <cfRule type="cellIs" dxfId="10" priority="8" operator="between">
      <formula>$K2</formula>
      <formula>$K2*2</formula>
    </cfRule>
    <cfRule type="cellIs" dxfId="9" priority="9" operator="between">
      <formula>0.01</formula>
      <formula>$K2</formula>
    </cfRule>
  </conditionalFormatting>
  <conditionalFormatting sqref="N31:Q31 N32:P40 N2:P30 M2:M40">
    <cfRule type="cellIs" dxfId="8" priority="4" operator="greaterThan">
      <formula>0</formula>
    </cfRule>
  </conditionalFormatting>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25"/>
  <sheetViews>
    <sheetView zoomScaleNormal="100" workbookViewId="0">
      <selection sqref="A1:I126"/>
    </sheetView>
  </sheetViews>
  <sheetFormatPr defaultRowHeight="13.5" x14ac:dyDescent="0.15"/>
  <cols>
    <col min="1" max="1" width="25.25" style="66" customWidth="1"/>
    <col min="2" max="2" width="10.875" style="66" customWidth="1"/>
    <col min="3" max="8" width="9" style="66" customWidth="1"/>
    <col min="9" max="9" width="21.75" style="66" customWidth="1"/>
    <col min="10" max="19" width="9" style="66" customWidth="1"/>
    <col min="20" max="16384" width="9" style="66"/>
  </cols>
  <sheetData>
    <row r="1" spans="1:9" x14ac:dyDescent="0.15">
      <c r="A1" s="80" t="s">
        <v>64</v>
      </c>
      <c r="B1" s="77"/>
      <c r="C1" s="77"/>
      <c r="D1" s="77"/>
      <c r="E1" s="77"/>
      <c r="F1" s="77"/>
      <c r="G1" s="77"/>
      <c r="H1" s="77"/>
    </row>
    <row r="2" spans="1:9" x14ac:dyDescent="0.15">
      <c r="A2" s="67"/>
      <c r="B2" s="67"/>
      <c r="C2" s="67"/>
      <c r="D2" s="67"/>
    </row>
    <row r="3" spans="1:9" x14ac:dyDescent="0.15">
      <c r="A3" s="67" t="s">
        <v>65</v>
      </c>
      <c r="B3" s="67" t="s">
        <v>66</v>
      </c>
      <c r="C3" s="67"/>
      <c r="D3" s="67"/>
    </row>
    <row r="4" spans="1:9" x14ac:dyDescent="0.15">
      <c r="A4" s="48" t="s">
        <v>67</v>
      </c>
      <c r="B4" s="46"/>
      <c r="C4" s="67"/>
      <c r="D4" s="67"/>
    </row>
    <row r="5" spans="1:9" x14ac:dyDescent="0.15">
      <c r="A5" s="48" t="s">
        <v>68</v>
      </c>
      <c r="B5" s="47"/>
      <c r="C5" s="67"/>
      <c r="D5" s="67"/>
    </row>
    <row r="6" spans="1:9" x14ac:dyDescent="0.15">
      <c r="A6" s="67" t="s">
        <v>69</v>
      </c>
      <c r="B6" s="48"/>
      <c r="C6" s="48"/>
      <c r="D6" s="48"/>
    </row>
    <row r="7" spans="1:9" x14ac:dyDescent="0.15">
      <c r="A7" s="48" t="s">
        <v>70</v>
      </c>
      <c r="B7" s="46"/>
      <c r="C7" s="67"/>
      <c r="D7" s="67"/>
    </row>
    <row r="8" spans="1:9" x14ac:dyDescent="0.15">
      <c r="A8" s="48" t="s">
        <v>71</v>
      </c>
      <c r="B8" s="46"/>
      <c r="C8" s="67"/>
      <c r="D8" s="67"/>
    </row>
    <row r="9" spans="1:9" x14ac:dyDescent="0.15">
      <c r="A9" s="67" t="s">
        <v>72</v>
      </c>
      <c r="B9" s="67"/>
      <c r="C9" s="67"/>
      <c r="D9" s="67"/>
    </row>
    <row r="10" spans="1:9" x14ac:dyDescent="0.15">
      <c r="A10" s="84" t="s">
        <v>73</v>
      </c>
      <c r="B10" s="77"/>
      <c r="C10" s="77"/>
      <c r="D10" s="77"/>
      <c r="E10" s="77"/>
      <c r="F10" s="77"/>
      <c r="G10" s="77"/>
      <c r="H10" s="77"/>
      <c r="I10" s="77"/>
    </row>
    <row r="12" spans="1:9" x14ac:dyDescent="0.15">
      <c r="A12" s="72" t="s">
        <v>74</v>
      </c>
      <c r="B12" s="77"/>
      <c r="C12" s="77"/>
      <c r="D12" s="77"/>
      <c r="E12" s="77"/>
      <c r="F12" s="77"/>
      <c r="G12" s="77"/>
      <c r="H12" s="77"/>
      <c r="I12" s="77"/>
    </row>
    <row r="13" spans="1:9" x14ac:dyDescent="0.15">
      <c r="A13" s="85" t="s">
        <v>75</v>
      </c>
      <c r="B13" s="77"/>
      <c r="C13" s="77"/>
      <c r="D13" s="77"/>
      <c r="E13" s="77"/>
      <c r="F13" s="77"/>
      <c r="G13" s="77"/>
      <c r="H13" s="77"/>
      <c r="I13" s="77"/>
    </row>
    <row r="14" spans="1:9" x14ac:dyDescent="0.15">
      <c r="A14" s="46"/>
      <c r="B14" s="83"/>
      <c r="C14" s="77"/>
      <c r="D14" s="77"/>
      <c r="E14" s="77"/>
      <c r="F14" s="77"/>
      <c r="G14" s="77"/>
      <c r="H14" s="77"/>
    </row>
    <row r="15" spans="1:9" x14ac:dyDescent="0.15">
      <c r="A15" s="79" t="s">
        <v>76</v>
      </c>
      <c r="B15" s="77"/>
      <c r="C15" s="77"/>
      <c r="D15" s="77"/>
      <c r="E15" s="77"/>
      <c r="F15" s="77"/>
      <c r="G15" s="77"/>
      <c r="H15" s="77"/>
      <c r="I15" s="77"/>
    </row>
    <row r="16" spans="1:9" x14ac:dyDescent="0.15">
      <c r="A16" s="46"/>
      <c r="B16" s="82"/>
      <c r="C16" s="77"/>
      <c r="D16" s="77"/>
      <c r="E16" s="77"/>
      <c r="F16" s="77"/>
      <c r="G16" s="77"/>
      <c r="H16" s="77"/>
    </row>
    <row r="17" spans="1:9" x14ac:dyDescent="0.15">
      <c r="A17" s="79" t="s">
        <v>77</v>
      </c>
      <c r="B17" s="77"/>
      <c r="C17" s="77"/>
      <c r="D17" s="77"/>
      <c r="E17" s="77"/>
      <c r="F17" s="77"/>
      <c r="G17" s="77"/>
      <c r="H17" s="77"/>
      <c r="I17" s="77"/>
    </row>
    <row r="18" spans="1:9" x14ac:dyDescent="0.15">
      <c r="A18" s="46"/>
      <c r="B18" s="81"/>
      <c r="C18" s="77"/>
      <c r="D18" s="77"/>
      <c r="E18" s="77"/>
      <c r="F18" s="77"/>
      <c r="G18" s="77"/>
      <c r="H18" s="77"/>
    </row>
    <row r="19" spans="1:9" x14ac:dyDescent="0.15">
      <c r="A19" s="72" t="s">
        <v>78</v>
      </c>
      <c r="B19" s="77"/>
      <c r="C19" s="77"/>
      <c r="D19" s="77"/>
      <c r="E19" s="77"/>
      <c r="F19" s="77"/>
      <c r="G19" s="77"/>
      <c r="H19" s="77"/>
      <c r="I19" s="77"/>
    </row>
    <row r="20" spans="1:9" x14ac:dyDescent="0.15">
      <c r="A20" s="86"/>
      <c r="B20" s="77"/>
      <c r="C20" s="77"/>
      <c r="D20" s="77"/>
      <c r="E20" s="77"/>
      <c r="F20" s="77"/>
      <c r="G20" s="77"/>
      <c r="H20" s="77"/>
    </row>
    <row r="21" spans="1:9" x14ac:dyDescent="0.15">
      <c r="A21" s="68"/>
      <c r="B21" s="68"/>
      <c r="C21" s="68"/>
      <c r="D21" s="68"/>
      <c r="E21" s="68"/>
      <c r="F21" s="68"/>
      <c r="G21" s="68"/>
      <c r="H21" s="68"/>
    </row>
    <row r="23" spans="1:9" x14ac:dyDescent="0.15">
      <c r="A23" s="80" t="s">
        <v>79</v>
      </c>
      <c r="B23" s="77"/>
      <c r="C23" s="77"/>
      <c r="D23" s="77"/>
      <c r="E23" s="77"/>
      <c r="F23" s="77"/>
      <c r="G23" s="77"/>
      <c r="H23" s="77"/>
    </row>
    <row r="24" spans="1:9" ht="27" customHeight="1" x14ac:dyDescent="0.15">
      <c r="A24" s="67" t="s">
        <v>80</v>
      </c>
      <c r="B24" s="67"/>
      <c r="C24" s="67"/>
      <c r="D24" s="67"/>
      <c r="E24" s="67"/>
      <c r="F24" s="67"/>
      <c r="G24" s="67"/>
      <c r="H24" s="67"/>
      <c r="I24" s="67"/>
    </row>
    <row r="25" spans="1:9" x14ac:dyDescent="0.15">
      <c r="A25" s="67"/>
      <c r="B25" s="67"/>
      <c r="C25" s="67"/>
      <c r="D25" s="67"/>
      <c r="E25" s="67"/>
      <c r="F25" s="67"/>
      <c r="G25" s="67"/>
      <c r="H25" s="67"/>
      <c r="I25" s="67"/>
    </row>
    <row r="26" spans="1:9" x14ac:dyDescent="0.15">
      <c r="A26" s="67" t="s">
        <v>81</v>
      </c>
      <c r="B26" s="67" t="s">
        <v>82</v>
      </c>
      <c r="C26" s="67"/>
      <c r="D26" s="67"/>
      <c r="E26" s="67"/>
      <c r="F26" s="67"/>
      <c r="G26" s="67"/>
      <c r="H26" s="67"/>
      <c r="I26" s="67"/>
    </row>
    <row r="27" spans="1:9" x14ac:dyDescent="0.15">
      <c r="A27" s="67" t="s">
        <v>83</v>
      </c>
      <c r="B27" s="55"/>
      <c r="C27" s="79" t="s">
        <v>84</v>
      </c>
      <c r="D27" s="77"/>
      <c r="E27" s="77"/>
      <c r="F27" s="77"/>
      <c r="G27" s="77"/>
      <c r="H27" s="77"/>
      <c r="I27" s="77"/>
    </row>
    <row r="28" spans="1:9" x14ac:dyDescent="0.15">
      <c r="A28" s="67" t="s">
        <v>85</v>
      </c>
      <c r="B28" s="55"/>
      <c r="C28" s="79" t="s">
        <v>86</v>
      </c>
      <c r="D28" s="77"/>
      <c r="E28" s="77"/>
      <c r="F28" s="77"/>
      <c r="G28" s="77"/>
      <c r="H28" s="77"/>
      <c r="I28" s="77"/>
    </row>
    <row r="29" spans="1:9" x14ac:dyDescent="0.15">
      <c r="A29" s="67" t="s">
        <v>87</v>
      </c>
      <c r="B29" s="55"/>
      <c r="C29" s="79" t="s">
        <v>88</v>
      </c>
      <c r="D29" s="77"/>
      <c r="E29" s="77"/>
      <c r="F29" s="77"/>
      <c r="G29" s="77"/>
      <c r="H29" s="77"/>
      <c r="I29" s="77"/>
    </row>
    <row r="30" spans="1:9" x14ac:dyDescent="0.15">
      <c r="A30" s="67"/>
      <c r="B30" s="67"/>
      <c r="C30" s="67"/>
      <c r="D30" s="67"/>
      <c r="E30" s="67"/>
      <c r="F30" s="67"/>
      <c r="G30" s="67"/>
      <c r="H30" s="67"/>
      <c r="I30" s="67"/>
    </row>
    <row r="31" spans="1:9" x14ac:dyDescent="0.15">
      <c r="A31" s="67" t="s">
        <v>89</v>
      </c>
      <c r="B31" s="55"/>
      <c r="C31" s="79" t="s">
        <v>90</v>
      </c>
      <c r="D31" s="77"/>
      <c r="E31" s="77"/>
      <c r="F31" s="77"/>
      <c r="G31" s="77"/>
      <c r="H31" s="77"/>
      <c r="I31" s="77"/>
    </row>
    <row r="32" spans="1:9" x14ac:dyDescent="0.15">
      <c r="A32" s="67" t="s">
        <v>91</v>
      </c>
      <c r="B32" s="55"/>
      <c r="C32" s="79" t="s">
        <v>92</v>
      </c>
      <c r="D32" s="77"/>
      <c r="E32" s="77"/>
      <c r="F32" s="77"/>
      <c r="G32" s="77"/>
      <c r="H32" s="77"/>
      <c r="I32" s="77"/>
    </row>
    <row r="33" spans="1:9" x14ac:dyDescent="0.15">
      <c r="A33" s="67"/>
      <c r="B33" s="55"/>
      <c r="C33" s="79" t="s">
        <v>93</v>
      </c>
      <c r="D33" s="77"/>
      <c r="E33" s="77"/>
      <c r="F33" s="77"/>
      <c r="G33" s="77"/>
      <c r="H33" s="77"/>
      <c r="I33" s="77"/>
    </row>
    <row r="34" spans="1:9" x14ac:dyDescent="0.15">
      <c r="A34" s="67"/>
      <c r="B34" s="55"/>
      <c r="C34" s="79" t="s">
        <v>94</v>
      </c>
      <c r="D34" s="77"/>
      <c r="E34" s="77"/>
      <c r="F34" s="77"/>
      <c r="G34" s="77"/>
      <c r="H34" s="77"/>
      <c r="I34" s="77"/>
    </row>
    <row r="35" spans="1:9" x14ac:dyDescent="0.15">
      <c r="A35" s="67" t="s">
        <v>95</v>
      </c>
      <c r="B35" s="55"/>
      <c r="C35" s="79" t="s">
        <v>96</v>
      </c>
      <c r="D35" s="77"/>
      <c r="E35" s="77"/>
      <c r="F35" s="77"/>
      <c r="G35" s="77"/>
      <c r="H35" s="77"/>
      <c r="I35" s="67"/>
    </row>
    <row r="36" spans="1:9" x14ac:dyDescent="0.15">
      <c r="A36" s="67"/>
      <c r="B36" s="67"/>
      <c r="C36" s="79" t="s">
        <v>97</v>
      </c>
      <c r="D36" s="77"/>
      <c r="E36" s="77"/>
      <c r="F36" s="77"/>
      <c r="G36" s="77"/>
      <c r="H36" s="77"/>
      <c r="I36" s="67"/>
    </row>
    <row r="37" spans="1:9" x14ac:dyDescent="0.15">
      <c r="A37" s="67"/>
      <c r="B37" s="67"/>
      <c r="C37" s="79" t="s">
        <v>98</v>
      </c>
      <c r="D37" s="77"/>
      <c r="E37" s="77"/>
      <c r="F37" s="77"/>
      <c r="G37" s="77"/>
      <c r="H37" s="77"/>
      <c r="I37" s="67"/>
    </row>
    <row r="38" spans="1:9" x14ac:dyDescent="0.15">
      <c r="A38" s="67"/>
      <c r="B38" s="67"/>
      <c r="C38" s="79" t="s">
        <v>99</v>
      </c>
      <c r="D38" s="77"/>
      <c r="E38" s="77"/>
      <c r="F38" s="77"/>
      <c r="G38" s="77"/>
      <c r="H38" s="77"/>
      <c r="I38" s="67"/>
    </row>
    <row r="39" spans="1:9" x14ac:dyDescent="0.15">
      <c r="A39" s="67"/>
      <c r="B39" s="67"/>
      <c r="C39" s="79" t="s">
        <v>100</v>
      </c>
      <c r="D39" s="77"/>
      <c r="E39" s="77"/>
      <c r="F39" s="77"/>
      <c r="G39" s="77"/>
      <c r="H39" s="77"/>
      <c r="I39" s="67"/>
    </row>
    <row r="40" spans="1:9" x14ac:dyDescent="0.15">
      <c r="A40" s="67"/>
      <c r="B40" s="67"/>
      <c r="C40" s="79" t="s">
        <v>101</v>
      </c>
      <c r="D40" s="77"/>
      <c r="E40" s="77"/>
      <c r="F40" s="77"/>
      <c r="G40" s="77"/>
      <c r="H40" s="77"/>
      <c r="I40" s="67"/>
    </row>
    <row r="41" spans="1:9" x14ac:dyDescent="0.15">
      <c r="A41" s="69"/>
      <c r="B41" s="69"/>
      <c r="C41" s="69"/>
      <c r="D41" s="69"/>
      <c r="E41" s="69"/>
      <c r="F41" s="69"/>
      <c r="G41" s="69"/>
      <c r="H41" s="69"/>
    </row>
    <row r="42" spans="1:9" x14ac:dyDescent="0.15">
      <c r="A42" s="67" t="s">
        <v>102</v>
      </c>
      <c r="B42" s="67"/>
      <c r="C42" s="67"/>
      <c r="D42" s="67"/>
      <c r="E42" s="67"/>
      <c r="F42" s="67"/>
      <c r="G42" s="67"/>
      <c r="H42" s="67"/>
    </row>
    <row r="43" spans="1:9" x14ac:dyDescent="0.15">
      <c r="A43" s="72" t="s">
        <v>103</v>
      </c>
      <c r="B43" s="77"/>
      <c r="C43" s="77"/>
      <c r="D43" s="77"/>
      <c r="E43" s="77"/>
      <c r="F43" s="77"/>
      <c r="G43" s="77"/>
      <c r="H43" s="77"/>
      <c r="I43" s="77"/>
    </row>
    <row r="44" spans="1:9" x14ac:dyDescent="0.15">
      <c r="A44" s="86"/>
      <c r="B44" s="77"/>
      <c r="C44" s="77"/>
      <c r="D44" s="77"/>
      <c r="E44" s="77"/>
      <c r="F44" s="77"/>
      <c r="G44" s="77"/>
      <c r="H44" s="77"/>
    </row>
    <row r="45" spans="1:9" x14ac:dyDescent="0.15">
      <c r="A45" s="72" t="s">
        <v>104</v>
      </c>
      <c r="B45" s="77"/>
      <c r="C45" s="77"/>
      <c r="D45" s="77"/>
      <c r="E45" s="77"/>
      <c r="F45" s="77"/>
      <c r="G45" s="77"/>
      <c r="H45" s="77"/>
      <c r="I45" s="77"/>
    </row>
    <row r="46" spans="1:9" x14ac:dyDescent="0.15">
      <c r="A46" s="86"/>
      <c r="B46" s="77"/>
      <c r="C46" s="77"/>
      <c r="D46" s="77"/>
      <c r="E46" s="77"/>
      <c r="F46" s="77"/>
      <c r="G46" s="77"/>
      <c r="H46" s="77"/>
    </row>
    <row r="47" spans="1:9" x14ac:dyDescent="0.15">
      <c r="A47" s="67"/>
      <c r="B47" s="67"/>
      <c r="C47" s="67"/>
      <c r="D47" s="67"/>
      <c r="E47" s="67"/>
      <c r="F47" s="67"/>
      <c r="G47" s="67"/>
      <c r="H47" s="67"/>
    </row>
    <row r="48" spans="1:9" x14ac:dyDescent="0.15">
      <c r="A48" s="72" t="s">
        <v>105</v>
      </c>
      <c r="B48" s="77"/>
      <c r="C48" s="77"/>
      <c r="D48" s="77"/>
      <c r="E48" s="77"/>
      <c r="F48" s="77"/>
      <c r="G48" s="77"/>
      <c r="H48" s="77"/>
    </row>
    <row r="49" spans="1:9" x14ac:dyDescent="0.15">
      <c r="A49" s="79" t="s">
        <v>106</v>
      </c>
      <c r="B49" s="77"/>
      <c r="C49" s="77"/>
      <c r="D49" s="77"/>
      <c r="E49" s="77"/>
      <c r="F49" s="77"/>
      <c r="G49" s="77"/>
      <c r="H49" s="77"/>
      <c r="I49" s="77"/>
    </row>
    <row r="50" spans="1:9" x14ac:dyDescent="0.15">
      <c r="A50" s="55"/>
    </row>
    <row r="51" spans="1:9" x14ac:dyDescent="0.15">
      <c r="A51" s="72" t="s">
        <v>107</v>
      </c>
      <c r="B51" s="77"/>
      <c r="C51" s="77"/>
      <c r="D51" s="77"/>
      <c r="E51" s="77"/>
      <c r="F51" s="77"/>
      <c r="G51" s="77"/>
      <c r="H51" s="77"/>
    </row>
    <row r="52" spans="1:9" x14ac:dyDescent="0.15">
      <c r="A52" s="72" t="s">
        <v>108</v>
      </c>
      <c r="B52" s="77"/>
      <c r="C52" s="77"/>
      <c r="D52" s="77"/>
      <c r="E52" s="77"/>
      <c r="F52" s="77"/>
      <c r="G52" s="77"/>
      <c r="H52" s="77"/>
    </row>
    <row r="53" spans="1:9" x14ac:dyDescent="0.15">
      <c r="A53" s="72" t="s">
        <v>109</v>
      </c>
      <c r="B53" s="77"/>
      <c r="C53" s="77"/>
      <c r="D53" s="77"/>
      <c r="E53" s="77"/>
      <c r="F53" s="77"/>
      <c r="G53" s="77"/>
      <c r="H53" s="77"/>
    </row>
    <row r="54" spans="1:9" x14ac:dyDescent="0.15">
      <c r="A54" s="72" t="s">
        <v>110</v>
      </c>
      <c r="B54" s="77"/>
      <c r="C54" s="77"/>
      <c r="D54" s="77"/>
      <c r="E54" s="77"/>
      <c r="F54" s="77"/>
      <c r="G54" s="77"/>
      <c r="H54" s="77"/>
    </row>
    <row r="55" spans="1:9" x14ac:dyDescent="0.15">
      <c r="A55" s="72" t="s">
        <v>111</v>
      </c>
      <c r="B55" s="77"/>
      <c r="C55" s="77"/>
      <c r="D55" s="77"/>
      <c r="E55" s="77"/>
      <c r="F55" s="77"/>
      <c r="G55" s="77"/>
      <c r="H55" s="77"/>
    </row>
    <row r="56" spans="1:9" x14ac:dyDescent="0.15">
      <c r="A56" s="72" t="s">
        <v>112</v>
      </c>
      <c r="B56" s="77"/>
      <c r="C56" s="77"/>
      <c r="D56" s="77"/>
      <c r="E56" s="77"/>
      <c r="F56" s="77"/>
      <c r="G56" s="77"/>
      <c r="H56" s="77"/>
    </row>
    <row r="57" spans="1:9" x14ac:dyDescent="0.15">
      <c r="A57" s="89" t="s">
        <v>113</v>
      </c>
      <c r="B57" s="77"/>
      <c r="C57" s="77"/>
      <c r="D57" s="77"/>
      <c r="E57" s="77"/>
      <c r="F57" s="77"/>
      <c r="G57" s="77"/>
      <c r="H57" s="77"/>
    </row>
    <row r="58" spans="1:9" x14ac:dyDescent="0.15">
      <c r="A58" s="67"/>
      <c r="B58" s="67"/>
      <c r="C58" s="67"/>
      <c r="D58" s="67"/>
      <c r="E58" s="67"/>
      <c r="F58" s="67"/>
      <c r="G58" s="67"/>
      <c r="H58" s="67"/>
    </row>
    <row r="59" spans="1:9" x14ac:dyDescent="0.15">
      <c r="A59" s="67" t="s">
        <v>114</v>
      </c>
      <c r="B59" s="67"/>
      <c r="C59" s="67"/>
      <c r="D59" s="67"/>
      <c r="E59" s="67"/>
      <c r="F59" s="67"/>
      <c r="G59" s="67"/>
      <c r="H59" s="67"/>
    </row>
    <row r="60" spans="1:9" x14ac:dyDescent="0.15">
      <c r="A60" s="87" t="s">
        <v>115</v>
      </c>
      <c r="B60" s="88"/>
      <c r="C60" s="88"/>
      <c r="D60" s="88"/>
      <c r="E60" s="88"/>
      <c r="F60" s="88"/>
      <c r="G60" s="88"/>
      <c r="H60" s="88"/>
      <c r="I60" s="88"/>
    </row>
    <row r="61" spans="1:9" ht="14.25" customHeight="1" x14ac:dyDescent="0.15">
      <c r="A61" s="49" t="s">
        <v>116</v>
      </c>
      <c r="B61" s="50"/>
      <c r="C61" s="50" t="s">
        <v>117</v>
      </c>
      <c r="D61" s="50" t="s">
        <v>118</v>
      </c>
      <c r="E61" s="50" t="s">
        <v>119</v>
      </c>
      <c r="F61" s="50" t="s">
        <v>120</v>
      </c>
      <c r="G61" s="50" t="s">
        <v>121</v>
      </c>
      <c r="H61" s="51" t="s">
        <v>122</v>
      </c>
      <c r="I61" s="51" t="s">
        <v>123</v>
      </c>
    </row>
    <row r="62" spans="1:9" ht="14.25" customHeight="1" x14ac:dyDescent="0.15">
      <c r="A62" s="78" t="s">
        <v>124</v>
      </c>
      <c r="B62" s="75"/>
      <c r="C62" s="75"/>
      <c r="D62" s="75"/>
      <c r="E62" s="75"/>
      <c r="F62" s="75"/>
      <c r="G62" s="75"/>
      <c r="H62" s="75"/>
      <c r="I62" s="76"/>
    </row>
    <row r="63" spans="1:9" x14ac:dyDescent="0.15">
      <c r="A63" s="9" t="s">
        <v>125</v>
      </c>
      <c r="B63" s="52"/>
      <c r="C63" s="52"/>
      <c r="D63" s="52"/>
      <c r="E63" s="52"/>
      <c r="F63" s="52"/>
      <c r="G63" s="52"/>
      <c r="H63" s="52"/>
      <c r="I63" s="52" t="s">
        <v>126</v>
      </c>
    </row>
    <row r="64" spans="1:9" ht="27" customHeight="1" x14ac:dyDescent="0.15">
      <c r="A64" s="9" t="s">
        <v>127</v>
      </c>
      <c r="B64" s="52"/>
      <c r="C64" s="52"/>
      <c r="D64" s="52"/>
      <c r="E64" s="52"/>
      <c r="F64" s="52"/>
      <c r="G64" s="52"/>
      <c r="H64" s="52"/>
      <c r="I64" s="52"/>
    </row>
    <row r="65" spans="1:9" ht="27" customHeight="1" x14ac:dyDescent="0.15">
      <c r="A65" s="9" t="s">
        <v>128</v>
      </c>
      <c r="B65" s="52"/>
      <c r="C65" s="52"/>
      <c r="D65" s="52"/>
      <c r="E65" s="52"/>
      <c r="F65" s="52"/>
      <c r="G65" s="52"/>
      <c r="H65" s="52"/>
      <c r="I65" s="52"/>
    </row>
    <row r="66" spans="1:9" x14ac:dyDescent="0.15">
      <c r="A66" s="9" t="s">
        <v>129</v>
      </c>
      <c r="B66" s="52"/>
      <c r="C66" s="52"/>
      <c r="D66" s="52"/>
      <c r="E66" s="52"/>
      <c r="F66" s="52"/>
      <c r="G66" s="52"/>
      <c r="H66" s="52"/>
      <c r="I66" s="52"/>
    </row>
    <row r="67" spans="1:9" ht="27" customHeight="1" x14ac:dyDescent="0.15">
      <c r="A67" s="9" t="s">
        <v>130</v>
      </c>
      <c r="B67" s="52"/>
      <c r="C67" s="52"/>
      <c r="D67" s="52"/>
      <c r="E67" s="52"/>
      <c r="F67" s="52"/>
      <c r="G67" s="52"/>
      <c r="H67" s="52"/>
      <c r="I67" s="52"/>
    </row>
    <row r="68" spans="1:9" ht="27" customHeight="1" x14ac:dyDescent="0.15">
      <c r="A68" s="9" t="s">
        <v>131</v>
      </c>
      <c r="B68" s="52"/>
      <c r="C68" s="52"/>
      <c r="D68" s="52"/>
      <c r="E68" s="52"/>
      <c r="F68" s="52"/>
      <c r="G68" s="52"/>
      <c r="H68" s="52"/>
      <c r="I68" s="52"/>
    </row>
    <row r="69" spans="1:9" x14ac:dyDescent="0.15">
      <c r="A69" s="74" t="s">
        <v>132</v>
      </c>
      <c r="B69" s="52" t="s">
        <v>133</v>
      </c>
      <c r="C69" s="52"/>
      <c r="D69" s="52"/>
      <c r="E69" s="52"/>
      <c r="F69" s="52"/>
      <c r="G69" s="52"/>
      <c r="H69" s="52"/>
      <c r="I69" s="52"/>
    </row>
    <row r="70" spans="1:9" x14ac:dyDescent="0.15">
      <c r="A70" s="90"/>
      <c r="B70" s="52" t="s">
        <v>134</v>
      </c>
      <c r="C70" s="52"/>
      <c r="D70" s="52"/>
      <c r="E70" s="52"/>
      <c r="F70" s="52"/>
      <c r="G70" s="52"/>
      <c r="H70" s="52"/>
      <c r="I70" s="52"/>
    </row>
    <row r="71" spans="1:9" x14ac:dyDescent="0.15">
      <c r="A71" s="90"/>
      <c r="B71" s="52" t="s">
        <v>135</v>
      </c>
      <c r="C71" s="52"/>
      <c r="D71" s="52"/>
      <c r="E71" s="52"/>
      <c r="F71" s="52"/>
      <c r="G71" s="52"/>
      <c r="H71" s="52"/>
      <c r="I71" s="52"/>
    </row>
    <row r="72" spans="1:9" x14ac:dyDescent="0.15">
      <c r="A72" s="91"/>
      <c r="B72" s="52" t="s">
        <v>136</v>
      </c>
      <c r="C72" s="52"/>
      <c r="D72" s="52"/>
      <c r="E72" s="52"/>
      <c r="F72" s="52"/>
      <c r="G72" s="52"/>
      <c r="H72" s="52"/>
      <c r="I72" s="52"/>
    </row>
    <row r="73" spans="1:9" x14ac:dyDescent="0.15">
      <c r="A73" s="62" t="s">
        <v>137</v>
      </c>
      <c r="B73" s="52"/>
      <c r="C73" s="52"/>
      <c r="D73" s="52"/>
      <c r="E73" s="52"/>
      <c r="F73" s="52"/>
      <c r="G73" s="52"/>
      <c r="H73" s="52"/>
      <c r="I73" s="52"/>
    </row>
    <row r="74" spans="1:9" ht="27" customHeight="1" x14ac:dyDescent="0.15">
      <c r="A74" s="9" t="s">
        <v>138</v>
      </c>
      <c r="B74" s="52"/>
      <c r="C74" s="52"/>
      <c r="D74" s="52"/>
      <c r="E74" s="52"/>
      <c r="F74" s="52"/>
      <c r="G74" s="52"/>
      <c r="H74" s="52"/>
      <c r="I74" s="52"/>
    </row>
    <row r="75" spans="1:9" ht="27" customHeight="1" x14ac:dyDescent="0.15">
      <c r="A75" s="9" t="s">
        <v>139</v>
      </c>
      <c r="B75" s="52"/>
      <c r="C75" s="52"/>
      <c r="D75" s="52"/>
      <c r="E75" s="52"/>
      <c r="F75" s="52"/>
      <c r="G75" s="52"/>
      <c r="H75" s="52"/>
      <c r="I75" s="52"/>
    </row>
    <row r="76" spans="1:9" x14ac:dyDescent="0.15">
      <c r="A76" s="9" t="s">
        <v>140</v>
      </c>
      <c r="B76" s="52"/>
      <c r="C76" s="52"/>
      <c r="D76" s="52"/>
      <c r="E76" s="52"/>
      <c r="F76" s="52"/>
      <c r="G76" s="52"/>
      <c r="H76" s="52"/>
      <c r="I76" s="52"/>
    </row>
    <row r="77" spans="1:9" ht="27" customHeight="1" x14ac:dyDescent="0.15">
      <c r="A77" s="9" t="s">
        <v>141</v>
      </c>
      <c r="B77" s="52"/>
      <c r="C77" s="52"/>
      <c r="D77" s="52"/>
      <c r="E77" s="52"/>
      <c r="F77" s="52"/>
      <c r="G77" s="52"/>
      <c r="H77" s="52"/>
      <c r="I77" s="52"/>
    </row>
    <row r="78" spans="1:9" ht="54" customHeight="1" x14ac:dyDescent="0.15">
      <c r="A78" s="9" t="s">
        <v>142</v>
      </c>
      <c r="B78" s="52"/>
      <c r="C78" s="52"/>
      <c r="D78" s="52"/>
      <c r="E78" s="52"/>
      <c r="F78" s="52"/>
      <c r="G78" s="52"/>
      <c r="H78" s="52"/>
      <c r="I78" s="52"/>
    </row>
    <row r="79" spans="1:9" x14ac:dyDescent="0.15">
      <c r="A79" s="9"/>
      <c r="B79" s="52"/>
      <c r="C79" s="52"/>
      <c r="D79" s="52"/>
      <c r="E79" s="52"/>
      <c r="F79" s="52"/>
      <c r="G79" s="52"/>
      <c r="H79" s="52"/>
      <c r="I79" s="52"/>
    </row>
    <row r="80" spans="1:9" x14ac:dyDescent="0.15">
      <c r="A80" s="9"/>
      <c r="B80" s="52"/>
      <c r="C80" s="52"/>
      <c r="D80" s="52"/>
      <c r="E80" s="52"/>
      <c r="F80" s="52"/>
      <c r="G80" s="52"/>
      <c r="H80" s="52"/>
      <c r="I80" s="52"/>
    </row>
    <row r="81" spans="1:9" x14ac:dyDescent="0.15">
      <c r="A81" s="74"/>
      <c r="B81" s="75"/>
      <c r="C81" s="75"/>
      <c r="D81" s="75"/>
      <c r="E81" s="75"/>
      <c r="F81" s="75"/>
      <c r="G81" s="75"/>
      <c r="H81" s="75"/>
      <c r="I81" s="76"/>
    </row>
    <row r="82" spans="1:9" x14ac:dyDescent="0.15">
      <c r="A82" s="74" t="s">
        <v>143</v>
      </c>
      <c r="B82" s="75"/>
      <c r="C82" s="75"/>
      <c r="D82" s="75"/>
      <c r="E82" s="75"/>
      <c r="F82" s="75"/>
      <c r="G82" s="75"/>
      <c r="H82" s="75"/>
      <c r="I82" s="76"/>
    </row>
    <row r="83" spans="1:9" x14ac:dyDescent="0.15">
      <c r="A83" s="9" t="s">
        <v>144</v>
      </c>
      <c r="B83" s="52"/>
      <c r="C83" s="52"/>
      <c r="D83" s="52"/>
      <c r="E83" s="52"/>
      <c r="F83" s="52"/>
      <c r="G83" s="52"/>
      <c r="H83" s="52"/>
      <c r="I83" s="53"/>
    </row>
    <row r="84" spans="1:9" x14ac:dyDescent="0.15">
      <c r="A84" s="9" t="s">
        <v>145</v>
      </c>
      <c r="B84" s="52"/>
      <c r="C84" s="52"/>
      <c r="D84" s="52"/>
      <c r="E84" s="52"/>
      <c r="F84" s="52"/>
      <c r="G84" s="52"/>
      <c r="H84" s="52"/>
      <c r="I84" s="53"/>
    </row>
    <row r="85" spans="1:9" x14ac:dyDescent="0.15">
      <c r="A85" s="9" t="s">
        <v>146</v>
      </c>
      <c r="B85" s="52"/>
      <c r="C85" s="52"/>
      <c r="D85" s="52"/>
      <c r="E85" s="52"/>
      <c r="F85" s="52"/>
      <c r="G85" s="52"/>
      <c r="H85" s="52"/>
      <c r="I85" s="53"/>
    </row>
    <row r="86" spans="1:9" x14ac:dyDescent="0.15">
      <c r="A86" s="9" t="s">
        <v>147</v>
      </c>
      <c r="B86" s="52"/>
      <c r="C86" s="52"/>
      <c r="D86" s="52"/>
      <c r="E86" s="52"/>
      <c r="F86" s="52"/>
      <c r="G86" s="52"/>
      <c r="H86" s="52"/>
      <c r="I86" s="53"/>
    </row>
    <row r="87" spans="1:9" x14ac:dyDescent="0.15">
      <c r="A87" s="9" t="s">
        <v>148</v>
      </c>
      <c r="B87" s="52"/>
      <c r="C87" s="52"/>
      <c r="D87" s="52"/>
      <c r="E87" s="52"/>
      <c r="F87" s="52"/>
      <c r="G87" s="52"/>
      <c r="H87" s="52"/>
      <c r="I87" s="53"/>
    </row>
    <row r="88" spans="1:9" x14ac:dyDescent="0.15">
      <c r="A88" s="9" t="s">
        <v>149</v>
      </c>
      <c r="B88" s="52"/>
      <c r="C88" s="52"/>
      <c r="D88" s="52"/>
      <c r="E88" s="52"/>
      <c r="F88" s="52"/>
      <c r="G88" s="52"/>
      <c r="H88" s="52"/>
      <c r="I88" s="53"/>
    </row>
    <row r="89" spans="1:9" x14ac:dyDescent="0.15">
      <c r="A89" s="9" t="s">
        <v>150</v>
      </c>
      <c r="B89" s="52"/>
      <c r="C89" s="52"/>
      <c r="D89" s="52"/>
      <c r="E89" s="52"/>
      <c r="F89" s="52"/>
      <c r="G89" s="52"/>
      <c r="H89" s="52"/>
      <c r="I89" s="53"/>
    </row>
    <row r="90" spans="1:9" x14ac:dyDescent="0.15">
      <c r="A90" s="9"/>
      <c r="B90" s="52"/>
      <c r="C90" s="52"/>
      <c r="D90" s="52"/>
      <c r="E90" s="52"/>
      <c r="F90" s="52"/>
      <c r="G90" s="52"/>
      <c r="H90" s="52"/>
      <c r="I90" s="53"/>
    </row>
    <row r="91" spans="1:9" x14ac:dyDescent="0.15">
      <c r="A91" s="74"/>
      <c r="B91" s="75"/>
      <c r="C91" s="75"/>
      <c r="D91" s="75"/>
      <c r="E91" s="75"/>
      <c r="F91" s="75"/>
      <c r="G91" s="75"/>
      <c r="H91" s="75"/>
      <c r="I91" s="76"/>
    </row>
    <row r="92" spans="1:9" x14ac:dyDescent="0.15">
      <c r="A92" s="74" t="s">
        <v>151</v>
      </c>
      <c r="B92" s="75"/>
      <c r="C92" s="75"/>
      <c r="D92" s="75"/>
      <c r="E92" s="75"/>
      <c r="F92" s="75"/>
      <c r="G92" s="75"/>
      <c r="H92" s="75"/>
      <c r="I92" s="76"/>
    </row>
    <row r="93" spans="1:9" x14ac:dyDescent="0.15">
      <c r="A93" s="9" t="s">
        <v>152</v>
      </c>
      <c r="B93" s="52"/>
      <c r="C93" s="52"/>
      <c r="D93" s="52"/>
      <c r="E93" s="52"/>
      <c r="F93" s="52"/>
      <c r="G93" s="52"/>
      <c r="H93" s="52"/>
      <c r="I93" s="52"/>
    </row>
    <row r="94" spans="1:9" x14ac:dyDescent="0.15">
      <c r="A94" s="9" t="s">
        <v>153</v>
      </c>
      <c r="B94" s="52"/>
      <c r="C94" s="52"/>
      <c r="D94" s="52"/>
      <c r="E94" s="52"/>
      <c r="F94" s="52"/>
      <c r="G94" s="52"/>
      <c r="H94" s="52"/>
      <c r="I94" s="52" t="s">
        <v>154</v>
      </c>
    </row>
    <row r="95" spans="1:9" x14ac:dyDescent="0.15">
      <c r="A95" s="9" t="s">
        <v>155</v>
      </c>
      <c r="B95" s="52"/>
      <c r="C95" s="52"/>
      <c r="D95" s="52"/>
      <c r="E95" s="52"/>
      <c r="F95" s="52"/>
      <c r="G95" s="52"/>
      <c r="H95" s="52"/>
      <c r="I95" s="52" t="s">
        <v>156</v>
      </c>
    </row>
    <row r="96" spans="1:9" x14ac:dyDescent="0.15">
      <c r="A96" s="9" t="s">
        <v>157</v>
      </c>
      <c r="B96" s="52"/>
      <c r="C96" s="52"/>
      <c r="D96" s="52"/>
      <c r="E96" s="52"/>
      <c r="F96" s="52"/>
      <c r="G96" s="52"/>
      <c r="H96" s="52"/>
      <c r="I96" s="52"/>
    </row>
    <row r="97" spans="1:9" ht="121.5" customHeight="1" x14ac:dyDescent="0.15">
      <c r="A97" s="9" t="s">
        <v>158</v>
      </c>
      <c r="B97" s="52"/>
      <c r="C97" s="52"/>
      <c r="D97" s="52"/>
      <c r="E97" s="52"/>
      <c r="F97" s="52"/>
      <c r="G97" s="52"/>
      <c r="H97" s="52"/>
      <c r="I97" s="52" t="s">
        <v>159</v>
      </c>
    </row>
    <row r="98" spans="1:9" x14ac:dyDescent="0.15">
      <c r="A98" s="74"/>
      <c r="B98" s="75"/>
      <c r="C98" s="75"/>
      <c r="D98" s="75"/>
      <c r="E98" s="75"/>
      <c r="F98" s="75"/>
      <c r="G98" s="75"/>
      <c r="H98" s="75"/>
      <c r="I98" s="76"/>
    </row>
    <row r="99" spans="1:9" x14ac:dyDescent="0.15">
      <c r="A99" s="74" t="s">
        <v>160</v>
      </c>
      <c r="B99" s="75"/>
      <c r="C99" s="75"/>
      <c r="D99" s="75"/>
      <c r="E99" s="75"/>
      <c r="F99" s="75"/>
      <c r="G99" s="75"/>
      <c r="H99" s="75"/>
      <c r="I99" s="76"/>
    </row>
    <row r="100" spans="1:9" ht="67.5" customHeight="1" x14ac:dyDescent="0.15">
      <c r="A100" s="9" t="s">
        <v>161</v>
      </c>
      <c r="B100" s="52"/>
      <c r="C100" s="52"/>
      <c r="D100" s="52"/>
      <c r="E100" s="52"/>
      <c r="F100" s="52"/>
      <c r="G100" s="52"/>
      <c r="H100" s="52"/>
      <c r="I100" s="52" t="s">
        <v>162</v>
      </c>
    </row>
    <row r="101" spans="1:9" ht="54" customHeight="1" x14ac:dyDescent="0.15">
      <c r="A101" s="9" t="s">
        <v>163</v>
      </c>
      <c r="B101" s="52"/>
      <c r="C101" s="52"/>
      <c r="D101" s="52"/>
      <c r="E101" s="52"/>
      <c r="F101" s="52"/>
      <c r="G101" s="52"/>
      <c r="H101" s="52"/>
      <c r="I101" s="52" t="s">
        <v>164</v>
      </c>
    </row>
    <row r="102" spans="1:9" x14ac:dyDescent="0.15">
      <c r="A102" s="9"/>
      <c r="B102" s="52"/>
      <c r="C102" s="52"/>
      <c r="D102" s="52"/>
      <c r="E102" s="52"/>
      <c r="F102" s="52"/>
      <c r="G102" s="52"/>
      <c r="H102" s="52"/>
      <c r="I102" s="52"/>
    </row>
    <row r="103" spans="1:9" x14ac:dyDescent="0.15">
      <c r="A103" s="74"/>
      <c r="B103" s="75"/>
      <c r="C103" s="75"/>
      <c r="D103" s="75"/>
      <c r="E103" s="75"/>
      <c r="F103" s="75"/>
      <c r="G103" s="75"/>
      <c r="H103" s="75"/>
      <c r="I103" s="76"/>
    </row>
    <row r="104" spans="1:9" x14ac:dyDescent="0.15">
      <c r="A104" s="74" t="s">
        <v>165</v>
      </c>
      <c r="B104" s="75"/>
      <c r="C104" s="75"/>
      <c r="D104" s="75"/>
      <c r="E104" s="75"/>
      <c r="F104" s="75"/>
      <c r="G104" s="75"/>
      <c r="H104" s="75"/>
      <c r="I104" s="76"/>
    </row>
    <row r="105" spans="1:9" x14ac:dyDescent="0.15">
      <c r="A105" s="9" t="s">
        <v>166</v>
      </c>
      <c r="B105" s="52"/>
      <c r="C105" s="52"/>
      <c r="D105" s="52"/>
      <c r="E105" s="52"/>
      <c r="F105" s="52"/>
      <c r="G105" s="52"/>
      <c r="H105" s="52"/>
      <c r="I105" s="52"/>
    </row>
    <row r="106" spans="1:9" x14ac:dyDescent="0.15">
      <c r="A106" s="9" t="s">
        <v>167</v>
      </c>
      <c r="B106" s="52"/>
      <c r="C106" s="52"/>
      <c r="D106" s="52"/>
      <c r="E106" s="52"/>
      <c r="F106" s="52"/>
      <c r="G106" s="52"/>
      <c r="H106" s="52"/>
      <c r="I106" s="52"/>
    </row>
    <row r="107" spans="1:9" x14ac:dyDescent="0.15">
      <c r="A107" s="20" t="s">
        <v>168</v>
      </c>
      <c r="B107" s="52"/>
      <c r="C107" s="52"/>
      <c r="D107" s="52"/>
      <c r="E107" s="52"/>
      <c r="F107" s="52"/>
      <c r="G107" s="52"/>
      <c r="H107" s="52"/>
      <c r="I107" s="52"/>
    </row>
    <row r="108" spans="1:9" ht="27" customHeight="1" x14ac:dyDescent="0.15">
      <c r="A108" s="9" t="s">
        <v>169</v>
      </c>
      <c r="B108" s="52"/>
      <c r="C108" s="52"/>
      <c r="D108" s="52"/>
      <c r="E108" s="52"/>
      <c r="F108" s="52"/>
      <c r="G108" s="52"/>
      <c r="H108" s="52"/>
      <c r="I108" s="52"/>
    </row>
    <row r="109" spans="1:9" x14ac:dyDescent="0.15">
      <c r="A109" s="9"/>
      <c r="B109" s="52"/>
      <c r="C109" s="52"/>
      <c r="D109" s="52"/>
      <c r="E109" s="52"/>
      <c r="F109" s="52"/>
      <c r="G109" s="52"/>
      <c r="H109" s="52"/>
      <c r="I109" s="52"/>
    </row>
    <row r="110" spans="1:9" x14ac:dyDescent="0.15">
      <c r="A110" s="48"/>
      <c r="B110" s="67"/>
      <c r="C110" s="67"/>
      <c r="D110" s="67"/>
      <c r="E110" s="67"/>
      <c r="F110" s="67"/>
      <c r="G110" s="67"/>
      <c r="H110" s="67"/>
      <c r="I110" s="67"/>
    </row>
    <row r="111" spans="1:9" x14ac:dyDescent="0.15">
      <c r="A111" s="67"/>
    </row>
    <row r="112" spans="1:9" x14ac:dyDescent="0.15">
      <c r="A112" s="80" t="s">
        <v>170</v>
      </c>
      <c r="B112" s="77"/>
      <c r="C112" s="77"/>
      <c r="D112" s="77"/>
      <c r="E112" s="77"/>
      <c r="F112" s="77"/>
      <c r="G112" s="77"/>
      <c r="H112" s="77"/>
      <c r="I112" s="67"/>
    </row>
    <row r="113" spans="1:9" x14ac:dyDescent="0.15">
      <c r="A113" s="67" t="s">
        <v>171</v>
      </c>
      <c r="B113" s="67"/>
      <c r="C113" s="67"/>
      <c r="D113" s="67"/>
      <c r="E113" s="67"/>
      <c r="F113" s="67"/>
      <c r="G113" s="67"/>
      <c r="H113" s="67"/>
      <c r="I113" s="67"/>
    </row>
    <row r="114" spans="1:9" x14ac:dyDescent="0.15">
      <c r="A114" s="54" t="s">
        <v>172</v>
      </c>
      <c r="B114" s="67"/>
      <c r="C114" s="67"/>
      <c r="D114" s="67"/>
      <c r="E114" s="67"/>
      <c r="F114" s="67"/>
      <c r="G114" s="67"/>
      <c r="H114" s="67"/>
      <c r="I114" s="67"/>
    </row>
    <row r="115" spans="1:9" ht="93.75" customHeight="1" x14ac:dyDescent="0.15">
      <c r="A115" s="92" t="s">
        <v>173</v>
      </c>
      <c r="B115" s="77"/>
      <c r="C115" s="77"/>
      <c r="D115" s="77"/>
      <c r="E115" s="77"/>
      <c r="F115" s="77"/>
      <c r="G115" s="77"/>
      <c r="H115" s="77"/>
      <c r="I115" s="77"/>
    </row>
    <row r="116" spans="1:9" x14ac:dyDescent="0.15">
      <c r="A116" s="77" t="s">
        <v>174</v>
      </c>
      <c r="B116" s="77"/>
      <c r="C116" s="77"/>
      <c r="D116" s="77"/>
      <c r="E116" s="77"/>
      <c r="F116" s="77"/>
      <c r="G116" s="77"/>
      <c r="H116" s="77"/>
      <c r="I116" s="77"/>
    </row>
    <row r="117" spans="1:9" x14ac:dyDescent="0.15">
      <c r="A117" s="77"/>
      <c r="B117" s="77"/>
      <c r="C117" s="77"/>
      <c r="D117" s="77"/>
      <c r="E117" s="77"/>
      <c r="F117" s="77"/>
      <c r="G117" s="77"/>
      <c r="H117" s="77"/>
      <c r="I117" s="77"/>
    </row>
    <row r="118" spans="1:9" x14ac:dyDescent="0.15">
      <c r="A118" s="77" t="s">
        <v>175</v>
      </c>
      <c r="B118" s="77"/>
      <c r="C118" s="77"/>
      <c r="D118" s="77"/>
      <c r="E118" s="77"/>
      <c r="F118" s="77"/>
      <c r="G118" s="77"/>
      <c r="H118" s="77"/>
      <c r="I118" s="77"/>
    </row>
    <row r="119" spans="1:9" x14ac:dyDescent="0.15">
      <c r="A119" s="77"/>
      <c r="B119" s="77"/>
      <c r="C119" s="77"/>
      <c r="D119" s="77"/>
      <c r="E119" s="77"/>
      <c r="F119" s="77"/>
      <c r="G119" s="77"/>
      <c r="H119" s="77"/>
      <c r="I119" s="77"/>
    </row>
    <row r="120" spans="1:9" x14ac:dyDescent="0.15">
      <c r="A120" s="77" t="s">
        <v>176</v>
      </c>
      <c r="B120" s="77"/>
      <c r="C120" s="77"/>
      <c r="D120" s="77"/>
      <c r="E120" s="77"/>
      <c r="F120" s="77"/>
      <c r="G120" s="77"/>
      <c r="H120" s="77"/>
      <c r="I120" s="77"/>
    </row>
    <row r="121" spans="1:9" x14ac:dyDescent="0.15">
      <c r="A121" s="77"/>
      <c r="B121" s="77"/>
      <c r="C121" s="77"/>
      <c r="D121" s="77"/>
      <c r="E121" s="77"/>
      <c r="F121" s="77"/>
      <c r="G121" s="77"/>
      <c r="H121" s="77"/>
      <c r="I121" s="77"/>
    </row>
    <row r="122" spans="1:9" x14ac:dyDescent="0.15">
      <c r="A122" s="77" t="s">
        <v>177</v>
      </c>
      <c r="B122" s="77"/>
      <c r="C122" s="77"/>
      <c r="D122" s="77"/>
      <c r="E122" s="77"/>
      <c r="F122" s="77"/>
      <c r="G122" s="77"/>
      <c r="H122" s="77"/>
      <c r="I122" s="77"/>
    </row>
    <row r="124" spans="1:9" x14ac:dyDescent="0.15">
      <c r="A124" s="77" t="s">
        <v>178</v>
      </c>
      <c r="B124" s="77"/>
      <c r="C124" s="77"/>
      <c r="D124" s="77"/>
      <c r="E124" s="77"/>
      <c r="F124" s="77"/>
      <c r="G124" s="77"/>
      <c r="H124" s="77"/>
      <c r="I124" s="77"/>
    </row>
    <row r="125" spans="1:9" x14ac:dyDescent="0.15">
      <c r="A125" s="77"/>
      <c r="B125" s="77"/>
      <c r="C125" s="77"/>
      <c r="D125" s="77"/>
      <c r="E125" s="77"/>
      <c r="F125" s="77"/>
      <c r="G125" s="77"/>
      <c r="H125" s="77"/>
      <c r="I125" s="77"/>
    </row>
  </sheetData>
  <mergeCells count="60">
    <mergeCell ref="A124:I124"/>
    <mergeCell ref="A125:I125"/>
    <mergeCell ref="A119:I119"/>
    <mergeCell ref="A115:I115"/>
    <mergeCell ref="A120:I120"/>
    <mergeCell ref="A121:I121"/>
    <mergeCell ref="A122:I122"/>
    <mergeCell ref="C40:H40"/>
    <mergeCell ref="A60:I60"/>
    <mergeCell ref="A116:I116"/>
    <mergeCell ref="A117:I117"/>
    <mergeCell ref="A118:I118"/>
    <mergeCell ref="A49:I49"/>
    <mergeCell ref="A46:H46"/>
    <mergeCell ref="A48:H48"/>
    <mergeCell ref="A44:H44"/>
    <mergeCell ref="A43:I43"/>
    <mergeCell ref="A45:I45"/>
    <mergeCell ref="A56:H56"/>
    <mergeCell ref="A57:H57"/>
    <mergeCell ref="A112:H112"/>
    <mergeCell ref="A69:A72"/>
    <mergeCell ref="A82:I82"/>
    <mergeCell ref="C34:I34"/>
    <mergeCell ref="A19:I19"/>
    <mergeCell ref="C27:I27"/>
    <mergeCell ref="C28:I28"/>
    <mergeCell ref="C29:I29"/>
    <mergeCell ref="C31:I31"/>
    <mergeCell ref="A20:H20"/>
    <mergeCell ref="A23:H23"/>
    <mergeCell ref="C37:H37"/>
    <mergeCell ref="C38:H38"/>
    <mergeCell ref="C39:H39"/>
    <mergeCell ref="A1:H1"/>
    <mergeCell ref="B18:H18"/>
    <mergeCell ref="B16:H16"/>
    <mergeCell ref="B14:H14"/>
    <mergeCell ref="A10:I10"/>
    <mergeCell ref="A12:I12"/>
    <mergeCell ref="A13:I13"/>
    <mergeCell ref="A15:I15"/>
    <mergeCell ref="A17:I17"/>
    <mergeCell ref="C35:H35"/>
    <mergeCell ref="C36:H36"/>
    <mergeCell ref="C32:I32"/>
    <mergeCell ref="C33:I33"/>
    <mergeCell ref="A104:I104"/>
    <mergeCell ref="A98:I98"/>
    <mergeCell ref="A99:I99"/>
    <mergeCell ref="A51:H51"/>
    <mergeCell ref="A52:H52"/>
    <mergeCell ref="A53:H53"/>
    <mergeCell ref="A54:H54"/>
    <mergeCell ref="A55:H55"/>
    <mergeCell ref="A81:I81"/>
    <mergeCell ref="A62:I62"/>
    <mergeCell ref="A91:I91"/>
    <mergeCell ref="A92:I92"/>
    <mergeCell ref="A103:I103"/>
  </mergeCells>
  <phoneticPr fontId="1" type="noConversion"/>
  <dataValidations count="10">
    <dataValidation type="list" showInputMessage="1" showErrorMessage="1" sqref="A50">
      <formula1>"缓慢增长,高速增长,稳定增长,周期类,困难反正类,隐藏资产类"</formula1>
    </dataValidation>
    <dataValidation type="list" showInputMessage="1" showErrorMessage="1" sqref="B4">
      <formula1>"家用电器,食品饮料,纺织服装,医药生物,休闲服务,传媒,汽车, "</formula1>
    </dataValidation>
    <dataValidation type="list" showInputMessage="1" showErrorMessage="1" sqref="B5">
      <formula1>"银行,非银金融,公共事业"</formula1>
    </dataValidation>
    <dataValidation type="list" showInputMessage="1" showErrorMessage="1" sqref="B7">
      <formula1>"采掘,化工,钢铁,有色,房地产,机器设备,建筑装饰,交通运输"</formula1>
    </dataValidation>
    <dataValidation type="list" showInputMessage="1" showErrorMessage="1" sqref="B8">
      <formula1>"电子,计算机,电气设备,通信"</formula1>
    </dataValidation>
    <dataValidation type="list" showInputMessage="1" showErrorMessage="1" sqref="A14">
      <formula1>"2B,2C"</formula1>
    </dataValidation>
    <dataValidation type="list" showInputMessage="1" showErrorMessage="1" sqref="B27:B29 B31:B34">
      <formula1>"是,否"</formula1>
    </dataValidation>
    <dataValidation type="list" showInputMessage="1" showErrorMessage="1" sqref="B35">
      <formula1>"妖怪型,老母鸭型,现金奶牛，其他型排除"</formula1>
    </dataValidation>
    <dataValidation type="list" showInputMessage="1" showErrorMessage="1" sqref="A16">
      <formula1>"成长,萎缩,,"</formula1>
    </dataValidation>
    <dataValidation type="list" showInputMessage="1" showErrorMessage="1" sqref="A18">
      <formula1>"红海,蓝海"</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16"/>
  <sheetViews>
    <sheetView workbookViewId="0">
      <selection activeCell="M23" sqref="M23"/>
    </sheetView>
  </sheetViews>
  <sheetFormatPr defaultRowHeight="13.5" x14ac:dyDescent="0.15"/>
  <cols>
    <col min="1" max="1" width="23.5" style="65" customWidth="1"/>
    <col min="4" max="5" width="10.875" style="65" customWidth="1"/>
    <col min="6" max="6" width="11.25" style="65" customWidth="1"/>
  </cols>
  <sheetData>
    <row r="1" spans="1:8" x14ac:dyDescent="0.15">
      <c r="A1" t="s">
        <v>179</v>
      </c>
    </row>
    <row r="3" spans="1:8" x14ac:dyDescent="0.15">
      <c r="A3" s="24" t="s">
        <v>65</v>
      </c>
      <c r="B3" s="24" t="s">
        <v>66</v>
      </c>
      <c r="C3" s="24"/>
      <c r="D3" s="24"/>
    </row>
    <row r="4" spans="1:8" x14ac:dyDescent="0.15">
      <c r="A4" s="3" t="s">
        <v>67</v>
      </c>
      <c r="B4" s="1" t="s">
        <v>180</v>
      </c>
      <c r="C4" s="24"/>
      <c r="D4" s="24"/>
    </row>
    <row r="5" spans="1:8" x14ac:dyDescent="0.15">
      <c r="A5" s="3" t="s">
        <v>68</v>
      </c>
      <c r="B5" s="2"/>
      <c r="C5" s="24"/>
      <c r="D5" s="24"/>
    </row>
    <row r="6" spans="1:8" x14ac:dyDescent="0.15">
      <c r="A6" s="24" t="s">
        <v>69</v>
      </c>
      <c r="B6" s="3"/>
      <c r="C6" s="3"/>
      <c r="D6" s="3"/>
    </row>
    <row r="7" spans="1:8" x14ac:dyDescent="0.15">
      <c r="A7" s="3" t="s">
        <v>70</v>
      </c>
      <c r="B7" s="1"/>
      <c r="C7" s="24"/>
      <c r="D7" s="24"/>
    </row>
    <row r="8" spans="1:8" x14ac:dyDescent="0.15">
      <c r="A8" s="3" t="s">
        <v>71</v>
      </c>
      <c r="B8" s="1"/>
      <c r="C8" s="24"/>
      <c r="D8" s="24"/>
    </row>
    <row r="9" spans="1:8" x14ac:dyDescent="0.15">
      <c r="A9" s="24" t="s">
        <v>72</v>
      </c>
      <c r="B9" s="24"/>
      <c r="C9" s="24"/>
      <c r="D9" s="24"/>
    </row>
    <row r="10" spans="1:8" x14ac:dyDescent="0.15">
      <c r="A10" s="4" t="s">
        <v>181</v>
      </c>
      <c r="B10" s="24"/>
      <c r="C10" s="24"/>
      <c r="D10" s="24"/>
    </row>
    <row r="12" spans="1:8" x14ac:dyDescent="0.15">
      <c r="A12" s="72" t="s">
        <v>74</v>
      </c>
      <c r="B12" s="73"/>
      <c r="C12" s="73"/>
      <c r="D12" s="73"/>
      <c r="E12" s="73"/>
      <c r="F12" s="73"/>
      <c r="G12" s="73"/>
      <c r="H12" s="73"/>
    </row>
    <row r="13" spans="1:8" x14ac:dyDescent="0.15">
      <c r="A13" s="14" t="s">
        <v>75</v>
      </c>
      <c r="B13" s="24"/>
      <c r="C13" s="24"/>
      <c r="D13" s="24"/>
      <c r="E13" s="24"/>
      <c r="F13" s="24"/>
      <c r="G13" s="24"/>
      <c r="H13" s="24"/>
    </row>
    <row r="14" spans="1:8" x14ac:dyDescent="0.15">
      <c r="A14" s="5" t="s">
        <v>182</v>
      </c>
      <c r="B14" s="24"/>
      <c r="C14" s="24"/>
      <c r="D14" s="24"/>
      <c r="E14" s="24"/>
      <c r="F14" s="24"/>
      <c r="G14" s="24"/>
      <c r="H14" s="24"/>
    </row>
    <row r="15" spans="1:8" x14ac:dyDescent="0.15">
      <c r="A15" s="24" t="s">
        <v>76</v>
      </c>
      <c r="B15" s="24"/>
      <c r="C15" s="24"/>
      <c r="D15" s="24"/>
      <c r="E15" s="24"/>
      <c r="F15" s="24"/>
      <c r="G15" s="24"/>
      <c r="H15" s="24"/>
    </row>
    <row r="16" spans="1:8" x14ac:dyDescent="0.15">
      <c r="A16" s="94"/>
      <c r="B16" s="73"/>
      <c r="C16" s="73"/>
      <c r="D16" s="73"/>
      <c r="E16" s="73"/>
      <c r="F16" s="73"/>
      <c r="G16" s="73"/>
      <c r="H16" s="24"/>
    </row>
    <row r="17" spans="1:9" x14ac:dyDescent="0.15">
      <c r="A17" s="24" t="s">
        <v>77</v>
      </c>
      <c r="B17" s="24"/>
      <c r="C17" s="24"/>
      <c r="D17" s="24"/>
      <c r="E17" s="24"/>
      <c r="F17" s="24"/>
      <c r="G17" s="24"/>
      <c r="H17" s="24"/>
    </row>
    <row r="18" spans="1:9" x14ac:dyDescent="0.15">
      <c r="A18" s="94"/>
      <c r="B18" s="73"/>
      <c r="C18" s="73"/>
      <c r="D18" s="73"/>
      <c r="E18" s="73"/>
      <c r="F18" s="73"/>
      <c r="G18" s="73"/>
      <c r="H18" s="73"/>
    </row>
    <row r="19" spans="1:9" x14ac:dyDescent="0.15">
      <c r="A19" s="72" t="s">
        <v>78</v>
      </c>
      <c r="B19" s="73"/>
      <c r="C19" s="73"/>
      <c r="D19" s="73"/>
      <c r="E19" s="73"/>
      <c r="F19" s="73"/>
      <c r="G19" s="73"/>
      <c r="H19" s="73"/>
    </row>
    <row r="20" spans="1:9" x14ac:dyDescent="0.15">
      <c r="A20" s="86"/>
      <c r="B20" s="73"/>
      <c r="C20" s="73"/>
      <c r="D20" s="73"/>
      <c r="E20" s="73"/>
      <c r="F20" s="73"/>
      <c r="G20" s="73"/>
      <c r="H20" s="73"/>
    </row>
    <row r="21" spans="1:9" x14ac:dyDescent="0.15">
      <c r="A21" s="68"/>
      <c r="B21" s="68"/>
      <c r="C21" s="68"/>
      <c r="D21" s="68"/>
      <c r="E21" s="68"/>
      <c r="F21" s="68"/>
      <c r="G21" s="68"/>
      <c r="H21" s="68"/>
    </row>
    <row r="22" spans="1:9" x14ac:dyDescent="0.15">
      <c r="A22" s="68"/>
      <c r="B22" s="68"/>
      <c r="C22" s="68"/>
      <c r="D22" s="68"/>
      <c r="E22" s="68"/>
      <c r="F22" s="68"/>
      <c r="G22" s="68"/>
      <c r="H22" s="68"/>
    </row>
    <row r="24" spans="1:9" x14ac:dyDescent="0.15">
      <c r="A24" s="95" t="s">
        <v>79</v>
      </c>
      <c r="B24" s="73"/>
      <c r="C24" s="73"/>
      <c r="D24" s="73"/>
      <c r="E24" s="73"/>
      <c r="F24" s="73"/>
      <c r="G24" s="73"/>
      <c r="H24" s="73"/>
    </row>
    <row r="25" spans="1:9" x14ac:dyDescent="0.15">
      <c r="A25" s="24" t="s">
        <v>80</v>
      </c>
      <c r="B25" s="24"/>
      <c r="C25" s="24"/>
      <c r="D25" s="24"/>
      <c r="E25" s="24"/>
      <c r="F25" s="24"/>
      <c r="G25" s="24"/>
      <c r="H25" s="24"/>
      <c r="I25" s="24"/>
    </row>
    <row r="26" spans="1:9" x14ac:dyDescent="0.15">
      <c r="A26" s="24"/>
      <c r="B26" s="24"/>
      <c r="C26" s="24"/>
      <c r="D26" s="24"/>
      <c r="E26" s="24"/>
      <c r="F26" s="24"/>
      <c r="G26" s="24"/>
      <c r="H26" s="24"/>
      <c r="I26" s="24"/>
    </row>
    <row r="27" spans="1:9" x14ac:dyDescent="0.15">
      <c r="A27" s="24" t="s">
        <v>81</v>
      </c>
      <c r="B27" s="24" t="s">
        <v>82</v>
      </c>
      <c r="C27" s="24"/>
      <c r="D27" s="24"/>
      <c r="E27" s="24"/>
      <c r="F27" s="24"/>
      <c r="G27" s="24"/>
      <c r="H27" s="24"/>
      <c r="I27" s="24"/>
    </row>
    <row r="28" spans="1:9" x14ac:dyDescent="0.15">
      <c r="A28" s="24" t="s">
        <v>83</v>
      </c>
      <c r="B28" s="16"/>
      <c r="C28" s="24" t="s">
        <v>84</v>
      </c>
      <c r="D28" s="24"/>
      <c r="E28" s="24"/>
      <c r="F28" s="24"/>
      <c r="G28" s="24"/>
      <c r="H28" s="24"/>
      <c r="I28" s="24"/>
    </row>
    <row r="29" spans="1:9" x14ac:dyDescent="0.15">
      <c r="A29" s="24" t="s">
        <v>85</v>
      </c>
      <c r="B29" s="16"/>
      <c r="C29" s="24" t="s">
        <v>86</v>
      </c>
      <c r="D29" s="24"/>
      <c r="E29" s="24"/>
      <c r="F29" s="24"/>
      <c r="G29" s="24"/>
      <c r="H29" s="24"/>
      <c r="I29" s="24"/>
    </row>
    <row r="30" spans="1:9" x14ac:dyDescent="0.15">
      <c r="A30" s="24" t="s">
        <v>87</v>
      </c>
      <c r="B30" s="16"/>
      <c r="C30" s="24" t="s">
        <v>88</v>
      </c>
      <c r="D30" s="24"/>
      <c r="E30" s="24"/>
      <c r="F30" s="24"/>
      <c r="G30" s="24"/>
      <c r="H30" s="24"/>
      <c r="I30" s="24"/>
    </row>
    <row r="31" spans="1:9" x14ac:dyDescent="0.15">
      <c r="A31" s="24"/>
      <c r="B31" s="24"/>
      <c r="C31" s="24"/>
      <c r="D31" s="24"/>
      <c r="E31" s="24"/>
      <c r="F31" s="24"/>
      <c r="G31" s="24"/>
      <c r="H31" s="24"/>
      <c r="I31" s="24"/>
    </row>
    <row r="32" spans="1:9" x14ac:dyDescent="0.15">
      <c r="A32" s="24" t="s">
        <v>89</v>
      </c>
      <c r="B32" s="16"/>
      <c r="C32" s="24" t="s">
        <v>90</v>
      </c>
      <c r="D32" s="24"/>
      <c r="E32" s="24"/>
      <c r="F32" s="24"/>
      <c r="G32" s="24"/>
      <c r="H32" s="24"/>
      <c r="I32" s="24"/>
    </row>
    <row r="33" spans="1:9" x14ac:dyDescent="0.15">
      <c r="A33" s="24" t="s">
        <v>91</v>
      </c>
      <c r="B33" s="16"/>
      <c r="C33" s="24" t="s">
        <v>92</v>
      </c>
      <c r="D33" s="24"/>
      <c r="E33" s="24"/>
      <c r="F33" s="24"/>
      <c r="G33" s="24"/>
      <c r="H33" s="24"/>
      <c r="I33" s="24"/>
    </row>
    <row r="34" spans="1:9" ht="17.25" customHeight="1" x14ac:dyDescent="0.15">
      <c r="A34" s="24"/>
      <c r="B34" s="16"/>
      <c r="C34" s="24" t="s">
        <v>93</v>
      </c>
      <c r="D34" s="24"/>
      <c r="E34" s="24"/>
      <c r="F34" s="24"/>
      <c r="G34" s="24"/>
      <c r="H34" s="24"/>
      <c r="I34" s="24"/>
    </row>
    <row r="35" spans="1:9" ht="17.25" customHeight="1" x14ac:dyDescent="0.15">
      <c r="A35" s="24"/>
      <c r="B35" s="16"/>
      <c r="C35" s="24" t="s">
        <v>94</v>
      </c>
      <c r="D35" s="24"/>
      <c r="E35" s="24"/>
      <c r="F35" s="24"/>
      <c r="G35" s="24"/>
      <c r="H35" s="24"/>
      <c r="I35" s="24"/>
    </row>
    <row r="36" spans="1:9" x14ac:dyDescent="0.15">
      <c r="A36" s="24" t="s">
        <v>95</v>
      </c>
      <c r="B36" s="16"/>
      <c r="C36" s="24" t="s">
        <v>96</v>
      </c>
      <c r="D36" s="24"/>
      <c r="E36" s="24"/>
      <c r="F36" s="24"/>
      <c r="G36" s="24"/>
      <c r="H36" s="24"/>
      <c r="I36" s="24"/>
    </row>
    <row r="37" spans="1:9" x14ac:dyDescent="0.15">
      <c r="A37" s="24"/>
      <c r="B37" s="24"/>
      <c r="C37" s="24" t="s">
        <v>97</v>
      </c>
      <c r="D37" s="24"/>
      <c r="E37" s="24"/>
      <c r="F37" s="24"/>
      <c r="G37" s="24"/>
      <c r="H37" s="24"/>
      <c r="I37" s="24"/>
    </row>
    <row r="38" spans="1:9" x14ac:dyDescent="0.15">
      <c r="A38" s="24"/>
      <c r="B38" s="24"/>
      <c r="C38" s="24" t="s">
        <v>98</v>
      </c>
      <c r="D38" s="24"/>
      <c r="E38" s="24"/>
      <c r="F38" s="24"/>
      <c r="G38" s="24"/>
      <c r="H38" s="24"/>
      <c r="I38" s="24"/>
    </row>
    <row r="39" spans="1:9" x14ac:dyDescent="0.15">
      <c r="A39" s="24"/>
      <c r="B39" s="24"/>
      <c r="C39" s="24" t="s">
        <v>99</v>
      </c>
      <c r="D39" s="24"/>
      <c r="E39" s="24"/>
      <c r="F39" s="24"/>
      <c r="G39" s="24"/>
      <c r="H39" s="24"/>
      <c r="I39" s="24"/>
    </row>
    <row r="40" spans="1:9" x14ac:dyDescent="0.15">
      <c r="A40" s="24"/>
      <c r="B40" s="24"/>
      <c r="C40" s="24" t="s">
        <v>100</v>
      </c>
      <c r="D40" s="24"/>
      <c r="E40" s="24"/>
      <c r="F40" s="24"/>
      <c r="G40" s="24"/>
      <c r="H40" s="24"/>
      <c r="I40" s="24"/>
    </row>
    <row r="41" spans="1:9" x14ac:dyDescent="0.15">
      <c r="A41" s="24"/>
      <c r="B41" s="24"/>
      <c r="C41" s="24" t="s">
        <v>101</v>
      </c>
      <c r="D41" s="24"/>
      <c r="E41" s="24"/>
      <c r="F41" s="24"/>
      <c r="G41" s="24"/>
      <c r="H41" s="24"/>
      <c r="I41" s="24"/>
    </row>
    <row r="42" spans="1:9" x14ac:dyDescent="0.15">
      <c r="A42" s="70"/>
      <c r="B42" s="70"/>
      <c r="C42" s="70"/>
      <c r="D42" s="70"/>
      <c r="E42" s="70"/>
      <c r="F42" s="70"/>
      <c r="G42" s="70"/>
      <c r="H42" s="70"/>
    </row>
    <row r="43" spans="1:9" x14ac:dyDescent="0.15">
      <c r="A43" s="24" t="s">
        <v>102</v>
      </c>
      <c r="B43" s="24"/>
      <c r="C43" s="24"/>
      <c r="D43" s="24"/>
      <c r="E43" s="24"/>
      <c r="F43" s="24"/>
      <c r="G43" s="24"/>
      <c r="H43" s="24"/>
    </row>
    <row r="44" spans="1:9" x14ac:dyDescent="0.15">
      <c r="A44" s="72" t="s">
        <v>103</v>
      </c>
      <c r="B44" s="73"/>
      <c r="C44" s="73"/>
      <c r="D44" s="73"/>
      <c r="E44" s="73"/>
      <c r="F44" s="73"/>
      <c r="G44" s="73"/>
      <c r="H44" s="73"/>
    </row>
    <row r="45" spans="1:9" x14ac:dyDescent="0.15">
      <c r="A45" s="86"/>
      <c r="B45" s="73"/>
      <c r="C45" s="73"/>
      <c r="D45" s="73"/>
      <c r="E45" s="73"/>
      <c r="F45" s="73"/>
      <c r="G45" s="73"/>
      <c r="H45" s="73"/>
    </row>
    <row r="46" spans="1:9" x14ac:dyDescent="0.15">
      <c r="A46" s="96" t="s">
        <v>104</v>
      </c>
      <c r="B46" s="73"/>
      <c r="C46" s="73"/>
      <c r="D46" s="73"/>
      <c r="E46" s="73"/>
      <c r="F46" s="73"/>
      <c r="G46" s="73"/>
      <c r="H46" s="73"/>
    </row>
    <row r="47" spans="1:9" x14ac:dyDescent="0.15">
      <c r="A47" s="94"/>
      <c r="B47" s="73"/>
      <c r="C47" s="73"/>
      <c r="D47" s="73"/>
      <c r="E47" s="73"/>
      <c r="F47" s="73"/>
      <c r="G47" s="73"/>
      <c r="H47" s="73"/>
    </row>
    <row r="48" spans="1:9" x14ac:dyDescent="0.15">
      <c r="A48" s="24"/>
      <c r="B48" s="24"/>
      <c r="C48" s="24"/>
      <c r="D48" s="24"/>
      <c r="E48" s="24"/>
      <c r="F48" s="24"/>
      <c r="G48" s="24"/>
      <c r="H48" s="24"/>
    </row>
    <row r="49" spans="1:9" x14ac:dyDescent="0.15">
      <c r="A49" s="96" t="s">
        <v>105</v>
      </c>
      <c r="B49" s="73"/>
      <c r="C49" s="73"/>
      <c r="D49" s="73"/>
      <c r="E49" s="73"/>
      <c r="F49" s="73"/>
      <c r="G49" s="73"/>
      <c r="H49" s="73"/>
    </row>
    <row r="50" spans="1:9" x14ac:dyDescent="0.15">
      <c r="A50" s="24" t="s">
        <v>106</v>
      </c>
      <c r="B50" s="24"/>
      <c r="C50" s="24"/>
      <c r="D50" s="24"/>
      <c r="E50" s="24"/>
      <c r="F50" s="24"/>
      <c r="G50" s="24"/>
      <c r="H50" s="24"/>
    </row>
    <row r="51" spans="1:9" x14ac:dyDescent="0.15">
      <c r="A51" s="93"/>
      <c r="B51" s="75"/>
      <c r="C51" s="75"/>
      <c r="D51" s="75"/>
      <c r="E51" s="75"/>
      <c r="F51" s="75"/>
      <c r="G51" s="75"/>
      <c r="H51" s="76"/>
    </row>
    <row r="52" spans="1:9" x14ac:dyDescent="0.15">
      <c r="A52" s="96" t="s">
        <v>107</v>
      </c>
      <c r="B52" s="73"/>
      <c r="C52" s="73"/>
      <c r="D52" s="73"/>
      <c r="E52" s="73"/>
      <c r="F52" s="73"/>
      <c r="G52" s="73"/>
      <c r="H52" s="73"/>
    </row>
    <row r="53" spans="1:9" x14ac:dyDescent="0.15">
      <c r="A53" s="96" t="s">
        <v>108</v>
      </c>
      <c r="B53" s="73"/>
      <c r="C53" s="73"/>
      <c r="D53" s="73"/>
      <c r="E53" s="73"/>
      <c r="F53" s="73"/>
      <c r="G53" s="73"/>
      <c r="H53" s="73"/>
    </row>
    <row r="54" spans="1:9" x14ac:dyDescent="0.15">
      <c r="A54" s="96" t="s">
        <v>109</v>
      </c>
      <c r="B54" s="73"/>
      <c r="C54" s="73"/>
      <c r="D54" s="73"/>
      <c r="E54" s="73"/>
      <c r="F54" s="73"/>
      <c r="G54" s="73"/>
      <c r="H54" s="73"/>
    </row>
    <row r="55" spans="1:9" x14ac:dyDescent="0.15">
      <c r="A55" s="96" t="s">
        <v>110</v>
      </c>
      <c r="B55" s="73"/>
      <c r="C55" s="73"/>
      <c r="D55" s="73"/>
      <c r="E55" s="73"/>
      <c r="F55" s="73"/>
      <c r="G55" s="73"/>
      <c r="H55" s="73"/>
    </row>
    <row r="56" spans="1:9" x14ac:dyDescent="0.15">
      <c r="A56" s="72" t="s">
        <v>111</v>
      </c>
      <c r="B56" s="73"/>
      <c r="C56" s="73"/>
      <c r="D56" s="73"/>
      <c r="E56" s="73"/>
      <c r="F56" s="73"/>
      <c r="G56" s="73"/>
      <c r="H56" s="73"/>
    </row>
    <row r="57" spans="1:9" x14ac:dyDescent="0.15">
      <c r="A57" s="72" t="s">
        <v>112</v>
      </c>
      <c r="B57" s="73"/>
      <c r="C57" s="73"/>
      <c r="D57" s="73"/>
      <c r="E57" s="73"/>
      <c r="F57" s="73"/>
      <c r="G57" s="73"/>
      <c r="H57" s="73"/>
    </row>
    <row r="58" spans="1:9" x14ac:dyDescent="0.15">
      <c r="A58" s="97" t="s">
        <v>113</v>
      </c>
      <c r="B58" s="73"/>
      <c r="C58" s="73"/>
      <c r="D58" s="73"/>
      <c r="E58" s="73"/>
      <c r="F58" s="73"/>
      <c r="G58" s="73"/>
      <c r="H58" s="73"/>
    </row>
    <row r="59" spans="1:9" x14ac:dyDescent="0.15">
      <c r="A59" s="24"/>
      <c r="B59" s="24"/>
      <c r="C59" s="24"/>
      <c r="D59" s="24"/>
      <c r="E59" s="24"/>
      <c r="F59" s="24"/>
      <c r="G59" s="24"/>
      <c r="H59" s="24"/>
    </row>
    <row r="60" spans="1:9" x14ac:dyDescent="0.15">
      <c r="A60" s="24" t="s">
        <v>114</v>
      </c>
      <c r="B60" s="24"/>
      <c r="C60" s="24"/>
      <c r="D60" s="24"/>
      <c r="E60" s="24"/>
      <c r="F60" s="24"/>
      <c r="G60" s="24"/>
      <c r="H60" s="24"/>
    </row>
    <row r="61" spans="1:9" x14ac:dyDescent="0.15">
      <c r="A61" s="72" t="s">
        <v>115</v>
      </c>
      <c r="B61" s="73"/>
      <c r="C61" s="73"/>
      <c r="D61" s="73"/>
      <c r="E61" s="73"/>
      <c r="F61" s="73"/>
      <c r="G61" s="73"/>
      <c r="H61" s="73"/>
    </row>
    <row r="62" spans="1:9" ht="14.25" customHeight="1" x14ac:dyDescent="0.15">
      <c r="A62" s="6" t="s">
        <v>116</v>
      </c>
      <c r="B62" s="7"/>
      <c r="C62" s="7" t="s">
        <v>183</v>
      </c>
      <c r="D62" s="7" t="s">
        <v>117</v>
      </c>
      <c r="E62" s="7" t="s">
        <v>118</v>
      </c>
      <c r="F62" s="7" t="s">
        <v>119</v>
      </c>
      <c r="G62" s="7" t="s">
        <v>120</v>
      </c>
      <c r="H62" s="8" t="s">
        <v>121</v>
      </c>
      <c r="I62" s="8" t="s">
        <v>123</v>
      </c>
    </row>
    <row r="63" spans="1:9" ht="14.25" customHeight="1" x14ac:dyDescent="0.15">
      <c r="A63" s="98" t="s">
        <v>124</v>
      </c>
      <c r="B63" s="75"/>
      <c r="C63" s="75"/>
      <c r="D63" s="75"/>
      <c r="E63" s="75"/>
      <c r="F63" s="75"/>
      <c r="G63" s="75"/>
      <c r="H63" s="75"/>
      <c r="I63" s="76"/>
    </row>
    <row r="64" spans="1:9" ht="14.25" customHeight="1" thickBot="1" x14ac:dyDescent="0.2">
      <c r="A64" s="9" t="s">
        <v>125</v>
      </c>
      <c r="B64" s="10"/>
      <c r="C64" s="10"/>
      <c r="D64" s="10">
        <v>29.22</v>
      </c>
      <c r="E64" s="10">
        <v>34.39</v>
      </c>
      <c r="F64" s="10">
        <v>35.94</v>
      </c>
      <c r="G64" s="10">
        <v>26.29</v>
      </c>
      <c r="H64" s="10"/>
      <c r="I64" s="10" t="s">
        <v>126</v>
      </c>
    </row>
    <row r="65" spans="1:9" ht="54" customHeight="1" thickBot="1" x14ac:dyDescent="0.2">
      <c r="A65" s="9" t="s">
        <v>127</v>
      </c>
      <c r="B65" s="10"/>
      <c r="C65" s="10"/>
      <c r="D65" s="17">
        <v>0.30080000000000001</v>
      </c>
      <c r="E65" s="17">
        <v>0.23760000000000001</v>
      </c>
      <c r="F65" s="17">
        <v>0.17560000000000001</v>
      </c>
      <c r="G65" s="17">
        <v>0.1285</v>
      </c>
      <c r="H65" s="17">
        <v>0.1212</v>
      </c>
      <c r="I65" s="10"/>
    </row>
    <row r="66" spans="1:9" ht="27.75" customHeight="1" thickBot="1" x14ac:dyDescent="0.2">
      <c r="A66" s="9" t="s">
        <v>128</v>
      </c>
      <c r="B66" s="10"/>
      <c r="C66" s="10"/>
      <c r="D66" s="17">
        <v>0.55759999999999998</v>
      </c>
      <c r="E66" s="17">
        <v>0.48220000000000002</v>
      </c>
      <c r="F66" s="17">
        <v>0.45779999999999998</v>
      </c>
      <c r="G66" s="17">
        <v>0.44030000000000002</v>
      </c>
      <c r="H66" s="17">
        <v>0.4239</v>
      </c>
      <c r="I66" s="10"/>
    </row>
    <row r="67" spans="1:9" ht="14.25" customHeight="1" thickBot="1" x14ac:dyDescent="0.2">
      <c r="A67" s="9" t="s">
        <v>129</v>
      </c>
      <c r="B67" s="10"/>
      <c r="C67" s="10"/>
      <c r="D67" s="18">
        <v>0.34570000000000001</v>
      </c>
      <c r="E67" s="18">
        <v>0.27239999999999998</v>
      </c>
      <c r="F67" s="18">
        <v>0.22950000000000001</v>
      </c>
      <c r="G67" s="18">
        <v>0.1691</v>
      </c>
      <c r="H67" s="18">
        <v>0.14560000000000001</v>
      </c>
      <c r="I67" s="10"/>
    </row>
    <row r="68" spans="1:9" ht="27" customHeight="1" x14ac:dyDescent="0.15">
      <c r="A68" s="9" t="s">
        <v>130</v>
      </c>
      <c r="B68" s="10"/>
      <c r="C68" s="10"/>
      <c r="D68" s="10"/>
      <c r="E68" s="10"/>
      <c r="F68" s="10"/>
      <c r="G68" s="10"/>
      <c r="H68" s="10"/>
      <c r="I68" s="10"/>
    </row>
    <row r="69" spans="1:9" ht="27" customHeight="1" x14ac:dyDescent="0.15">
      <c r="A69" s="9" t="s">
        <v>131</v>
      </c>
      <c r="B69" s="10"/>
      <c r="C69" s="10"/>
      <c r="D69" s="10">
        <v>0.7</v>
      </c>
      <c r="E69" s="10">
        <v>0.69</v>
      </c>
      <c r="F69" s="10">
        <v>0.62</v>
      </c>
      <c r="G69" s="10">
        <v>0.61</v>
      </c>
      <c r="H69" s="10"/>
      <c r="I69" s="10"/>
    </row>
    <row r="70" spans="1:9" x14ac:dyDescent="0.15">
      <c r="A70" s="74" t="s">
        <v>132</v>
      </c>
      <c r="B70" s="10" t="s">
        <v>133</v>
      </c>
      <c r="C70" s="44">
        <v>3.8100000000000002E-2</v>
      </c>
      <c r="D70" s="44">
        <v>0.47720000000000001</v>
      </c>
      <c r="E70" s="44">
        <v>0.25080000000000002</v>
      </c>
      <c r="F70" s="44"/>
      <c r="G70" s="44"/>
      <c r="H70" s="44"/>
      <c r="I70" s="10"/>
    </row>
    <row r="71" spans="1:9" x14ac:dyDescent="0.15">
      <c r="A71" s="90"/>
      <c r="B71" s="10" t="s">
        <v>134</v>
      </c>
      <c r="C71" s="44">
        <v>2.1100000000000001E-2</v>
      </c>
      <c r="D71" s="44">
        <v>0.34110000000000001</v>
      </c>
      <c r="E71" s="44">
        <v>0.30590000000000001</v>
      </c>
      <c r="F71" s="44"/>
      <c r="G71" s="44"/>
      <c r="H71" s="44"/>
      <c r="I71" s="10"/>
    </row>
    <row r="72" spans="1:9" x14ac:dyDescent="0.15">
      <c r="A72" s="90"/>
      <c r="B72" s="10" t="s">
        <v>135</v>
      </c>
      <c r="C72" s="44"/>
      <c r="D72" s="44">
        <v>0.25940000000000002</v>
      </c>
      <c r="E72" s="44">
        <v>0.32029999999999997</v>
      </c>
      <c r="F72" s="44"/>
      <c r="G72" s="44"/>
      <c r="H72" s="44"/>
      <c r="I72" s="10"/>
    </row>
    <row r="73" spans="1:9" x14ac:dyDescent="0.15">
      <c r="A73" s="91"/>
      <c r="B73" s="10" t="s">
        <v>136</v>
      </c>
      <c r="C73" s="44"/>
      <c r="D73" s="44">
        <v>0.25919999999999999</v>
      </c>
      <c r="E73" s="44">
        <v>0.35639999999999999</v>
      </c>
      <c r="F73" s="44"/>
      <c r="G73" s="44"/>
      <c r="H73" s="44"/>
      <c r="I73" s="10"/>
    </row>
    <row r="74" spans="1:9" ht="14.25" customHeight="1" x14ac:dyDescent="0.2">
      <c r="A74" s="62" t="s">
        <v>137</v>
      </c>
      <c r="B74" s="10"/>
      <c r="C74" s="10"/>
      <c r="D74" s="45" t="s">
        <v>184</v>
      </c>
      <c r="E74" s="45" t="s">
        <v>184</v>
      </c>
      <c r="F74" s="45" t="s">
        <v>184</v>
      </c>
      <c r="G74" s="45" t="s">
        <v>184</v>
      </c>
      <c r="H74" s="10"/>
      <c r="I74" s="10"/>
    </row>
    <row r="75" spans="1:9" ht="27" customHeight="1" x14ac:dyDescent="0.15">
      <c r="A75" s="9" t="s">
        <v>138</v>
      </c>
      <c r="B75" s="10"/>
      <c r="C75" s="43">
        <v>0.02</v>
      </c>
      <c r="D75" s="10"/>
      <c r="E75" s="10"/>
      <c r="F75" s="10"/>
      <c r="G75" s="10"/>
      <c r="H75" s="10"/>
      <c r="I75" s="10"/>
    </row>
    <row r="76" spans="1:9" ht="27" customHeight="1" x14ac:dyDescent="0.15">
      <c r="A76" s="9" t="s">
        <v>139</v>
      </c>
      <c r="B76" s="10"/>
      <c r="C76" s="10"/>
      <c r="D76" s="10"/>
      <c r="E76" s="10"/>
      <c r="F76" s="10"/>
      <c r="G76" s="10"/>
      <c r="H76" s="10"/>
      <c r="I76" s="10"/>
    </row>
    <row r="77" spans="1:9" ht="27" customHeight="1" x14ac:dyDescent="0.15">
      <c r="A77" s="9" t="s">
        <v>140</v>
      </c>
      <c r="B77" s="10"/>
      <c r="C77" s="10"/>
      <c r="D77" s="10" t="s">
        <v>185</v>
      </c>
      <c r="E77" s="10" t="s">
        <v>186</v>
      </c>
      <c r="F77" s="10" t="s">
        <v>187</v>
      </c>
      <c r="G77" s="10" t="s">
        <v>188</v>
      </c>
      <c r="H77" s="10"/>
      <c r="I77" s="10"/>
    </row>
    <row r="78" spans="1:9" ht="27" customHeight="1" x14ac:dyDescent="0.15">
      <c r="A78" s="9" t="s">
        <v>141</v>
      </c>
      <c r="B78" s="10"/>
      <c r="C78" s="10">
        <v>-0.14000000000000001</v>
      </c>
      <c r="D78" s="10"/>
      <c r="E78" s="10"/>
      <c r="F78" s="10"/>
      <c r="G78" s="10"/>
      <c r="H78" s="10"/>
      <c r="I78" s="10"/>
    </row>
    <row r="79" spans="1:9" ht="54" customHeight="1" x14ac:dyDescent="0.15">
      <c r="A79" s="9" t="s">
        <v>142</v>
      </c>
      <c r="B79" s="10"/>
      <c r="C79" s="10"/>
      <c r="D79" s="10"/>
      <c r="E79" s="10"/>
      <c r="F79" s="10"/>
      <c r="G79" s="10"/>
      <c r="H79" s="10"/>
      <c r="I79" s="10"/>
    </row>
    <row r="80" spans="1:9" x14ac:dyDescent="0.15">
      <c r="A80" s="9"/>
      <c r="B80" s="10"/>
      <c r="C80" s="10"/>
      <c r="D80" s="10"/>
      <c r="E80" s="10"/>
      <c r="F80" s="10"/>
      <c r="G80" s="10"/>
      <c r="H80" s="10"/>
      <c r="I80" s="10"/>
    </row>
    <row r="81" spans="1:9" x14ac:dyDescent="0.15">
      <c r="A81" s="9"/>
      <c r="B81" s="10"/>
      <c r="C81" s="10"/>
      <c r="D81" s="10"/>
      <c r="E81" s="10"/>
      <c r="F81" s="10"/>
      <c r="G81" s="10"/>
      <c r="H81" s="10"/>
      <c r="I81" s="10"/>
    </row>
    <row r="82" spans="1:9" x14ac:dyDescent="0.15">
      <c r="A82" s="74"/>
      <c r="B82" s="75"/>
      <c r="C82" s="75"/>
      <c r="D82" s="75"/>
      <c r="E82" s="75"/>
      <c r="F82" s="75"/>
      <c r="G82" s="75"/>
      <c r="H82" s="75"/>
      <c r="I82" s="76"/>
    </row>
    <row r="83" spans="1:9" ht="14.25" customHeight="1" thickBot="1" x14ac:dyDescent="0.2">
      <c r="A83" s="74" t="s">
        <v>143</v>
      </c>
      <c r="B83" s="75"/>
      <c r="C83" s="75"/>
      <c r="D83" s="75"/>
      <c r="E83" s="75"/>
      <c r="F83" s="75"/>
      <c r="G83" s="75"/>
      <c r="H83" s="75"/>
      <c r="I83" s="76"/>
    </row>
    <row r="84" spans="1:9" ht="14.25" customHeight="1" thickBot="1" x14ac:dyDescent="0.2">
      <c r="A84" s="9" t="s">
        <v>144</v>
      </c>
      <c r="B84" s="10"/>
      <c r="C84" s="10">
        <v>31.13</v>
      </c>
      <c r="D84" s="19" t="s">
        <v>189</v>
      </c>
      <c r="E84" s="19" t="s">
        <v>190</v>
      </c>
      <c r="F84" s="19" t="s">
        <v>191</v>
      </c>
      <c r="G84" s="19" t="s">
        <v>192</v>
      </c>
      <c r="H84" s="19" t="s">
        <v>193</v>
      </c>
      <c r="I84" s="15"/>
    </row>
    <row r="85" spans="1:9" ht="14.25" customHeight="1" thickBot="1" x14ac:dyDescent="0.2">
      <c r="A85" s="9" t="s">
        <v>145</v>
      </c>
      <c r="B85" s="10"/>
      <c r="C85" s="10"/>
      <c r="D85" s="19" t="s">
        <v>194</v>
      </c>
      <c r="E85" s="19" t="s">
        <v>195</v>
      </c>
      <c r="F85" s="19" t="s">
        <v>196</v>
      </c>
      <c r="G85" s="19" t="s">
        <v>197</v>
      </c>
      <c r="H85" s="19" t="s">
        <v>198</v>
      </c>
      <c r="I85" s="15"/>
    </row>
    <row r="86" spans="1:9" ht="14.25" customHeight="1" thickBot="1" x14ac:dyDescent="0.2">
      <c r="A86" s="9" t="s">
        <v>146</v>
      </c>
      <c r="B86" s="10"/>
      <c r="C86" s="10"/>
      <c r="D86" s="18">
        <v>0.25919999999999999</v>
      </c>
      <c r="E86" s="18">
        <v>0.35639999999999999</v>
      </c>
      <c r="F86" s="18">
        <v>0.20430000000000001</v>
      </c>
      <c r="G86" s="18">
        <v>2.6700000000000002E-2</v>
      </c>
      <c r="H86" s="18">
        <v>7.1199999999999999E-2</v>
      </c>
      <c r="I86" s="15"/>
    </row>
    <row r="87" spans="1:9" ht="14.25" customHeight="1" thickBot="1" x14ac:dyDescent="0.2">
      <c r="A87" s="9" t="s">
        <v>147</v>
      </c>
      <c r="B87" s="10"/>
      <c r="C87" s="10"/>
      <c r="D87" s="19" t="s">
        <v>199</v>
      </c>
      <c r="E87" s="19" t="s">
        <v>200</v>
      </c>
      <c r="F87" s="19" t="s">
        <v>201</v>
      </c>
      <c r="G87" s="19" t="s">
        <v>202</v>
      </c>
      <c r="H87" s="19" t="s">
        <v>203</v>
      </c>
      <c r="I87" s="15"/>
    </row>
    <row r="88" spans="1:9" ht="27" customHeight="1" thickBot="1" x14ac:dyDescent="0.2">
      <c r="A88" s="9" t="s">
        <v>148</v>
      </c>
      <c r="B88" s="10"/>
      <c r="C88" s="10"/>
      <c r="D88" s="18">
        <v>0.5978</v>
      </c>
      <c r="E88" s="18">
        <v>0.61</v>
      </c>
      <c r="F88" s="18">
        <v>0.63460000000000005</v>
      </c>
      <c r="G88" s="18">
        <v>0.1923</v>
      </c>
      <c r="H88" s="18">
        <v>-6.1499999999999999E-2</v>
      </c>
      <c r="I88" s="15"/>
    </row>
    <row r="89" spans="1:9" ht="14.25" customHeight="1" thickBot="1" x14ac:dyDescent="0.2">
      <c r="A89" s="9" t="s">
        <v>149</v>
      </c>
      <c r="B89" s="10"/>
      <c r="C89" s="10"/>
      <c r="D89" s="19" t="s">
        <v>204</v>
      </c>
      <c r="E89" s="19" t="s">
        <v>205</v>
      </c>
      <c r="F89" s="19" t="s">
        <v>206</v>
      </c>
      <c r="G89" s="19" t="s">
        <v>207</v>
      </c>
      <c r="H89" s="19" t="s">
        <v>208</v>
      </c>
      <c r="I89" s="15"/>
    </row>
    <row r="90" spans="1:9" x14ac:dyDescent="0.15">
      <c r="A90" s="9" t="s">
        <v>150</v>
      </c>
      <c r="B90" s="10"/>
      <c r="C90" s="10"/>
      <c r="D90" s="10"/>
      <c r="E90" s="10"/>
      <c r="F90" s="10"/>
      <c r="G90" s="10"/>
      <c r="H90" s="10"/>
      <c r="I90" s="15"/>
    </row>
    <row r="91" spans="1:9" x14ac:dyDescent="0.15">
      <c r="A91" s="9"/>
      <c r="B91" s="10"/>
      <c r="C91" s="10"/>
      <c r="D91" s="10"/>
      <c r="E91" s="10"/>
      <c r="F91" s="10"/>
      <c r="G91" s="10"/>
      <c r="H91" s="10"/>
      <c r="I91" s="15"/>
    </row>
    <row r="92" spans="1:9" x14ac:dyDescent="0.15">
      <c r="A92" s="74"/>
      <c r="B92" s="75"/>
      <c r="C92" s="75"/>
      <c r="D92" s="75"/>
      <c r="E92" s="75"/>
      <c r="F92" s="75"/>
      <c r="G92" s="75"/>
      <c r="H92" s="75"/>
      <c r="I92" s="76"/>
    </row>
    <row r="93" spans="1:9" ht="14.25" customHeight="1" thickBot="1" x14ac:dyDescent="0.2">
      <c r="A93" s="74" t="s">
        <v>151</v>
      </c>
      <c r="B93" s="75"/>
      <c r="C93" s="75"/>
      <c r="D93" s="75"/>
      <c r="E93" s="75"/>
      <c r="F93" s="75"/>
      <c r="G93" s="75"/>
      <c r="H93" s="75"/>
      <c r="I93" s="76"/>
    </row>
    <row r="94" spans="1:9" ht="14.25" customHeight="1" thickBot="1" x14ac:dyDescent="0.2">
      <c r="A94" s="9" t="s">
        <v>152</v>
      </c>
      <c r="B94" s="10"/>
      <c r="C94" s="10"/>
      <c r="D94" s="19" t="s">
        <v>209</v>
      </c>
      <c r="E94" s="19" t="s">
        <v>210</v>
      </c>
      <c r="F94" s="19" t="s">
        <v>211</v>
      </c>
      <c r="G94" s="19" t="s">
        <v>212</v>
      </c>
      <c r="H94" s="19" t="s">
        <v>206</v>
      </c>
      <c r="I94" s="10"/>
    </row>
    <row r="95" spans="1:9" ht="14.25" customHeight="1" thickBot="1" x14ac:dyDescent="0.2">
      <c r="A95" s="9" t="s">
        <v>153</v>
      </c>
      <c r="B95" s="10"/>
      <c r="C95" s="10"/>
      <c r="D95" s="11">
        <v>0.17019999999999999</v>
      </c>
      <c r="E95" s="11">
        <v>0.224</v>
      </c>
      <c r="F95" s="11">
        <v>0.18940000000000001</v>
      </c>
      <c r="G95" s="11">
        <v>0.17169999999999999</v>
      </c>
      <c r="H95" s="11"/>
      <c r="I95" s="10" t="s">
        <v>154</v>
      </c>
    </row>
    <row r="96" spans="1:9" ht="40.5" customHeight="1" thickBot="1" x14ac:dyDescent="0.2">
      <c r="A96" s="9" t="s">
        <v>155</v>
      </c>
      <c r="B96" s="10"/>
      <c r="C96" s="10"/>
      <c r="D96" s="22">
        <v>4.5199999999999996</v>
      </c>
      <c r="E96" s="22">
        <v>3.24</v>
      </c>
      <c r="F96" s="22">
        <v>3.46</v>
      </c>
      <c r="G96" s="22">
        <v>3.72</v>
      </c>
      <c r="H96" s="22">
        <v>4.75</v>
      </c>
      <c r="I96" s="10" t="s">
        <v>156</v>
      </c>
    </row>
    <row r="97" spans="1:9" ht="14.25" customHeight="1" thickBot="1" x14ac:dyDescent="0.2">
      <c r="A97" s="9" t="s">
        <v>157</v>
      </c>
      <c r="B97" s="10"/>
      <c r="C97" s="10"/>
      <c r="D97" s="19">
        <v>2.85</v>
      </c>
      <c r="E97" s="19">
        <v>0.32</v>
      </c>
      <c r="F97" s="19">
        <v>0.97</v>
      </c>
      <c r="G97" s="19">
        <v>1.41</v>
      </c>
      <c r="H97" s="19">
        <v>2.72</v>
      </c>
      <c r="I97" s="10"/>
    </row>
    <row r="98" spans="1:9" x14ac:dyDescent="0.15">
      <c r="A98" s="9" t="s">
        <v>158</v>
      </c>
      <c r="B98" s="10"/>
      <c r="C98" s="10"/>
      <c r="D98" s="10"/>
      <c r="E98" s="10"/>
      <c r="F98" s="10"/>
      <c r="G98" s="10"/>
      <c r="H98" s="10"/>
      <c r="I98" s="10" t="s">
        <v>159</v>
      </c>
    </row>
    <row r="99" spans="1:9" x14ac:dyDescent="0.15">
      <c r="A99" s="74"/>
      <c r="B99" s="75"/>
      <c r="C99" s="75"/>
      <c r="D99" s="75"/>
      <c r="E99" s="75"/>
      <c r="F99" s="75"/>
      <c r="G99" s="75"/>
      <c r="H99" s="75"/>
      <c r="I99" s="76"/>
    </row>
    <row r="100" spans="1:9" x14ac:dyDescent="0.15">
      <c r="A100" s="74" t="s">
        <v>160</v>
      </c>
      <c r="B100" s="75"/>
      <c r="C100" s="75"/>
      <c r="D100" s="75"/>
      <c r="E100" s="75"/>
      <c r="F100" s="75"/>
      <c r="G100" s="75"/>
      <c r="H100" s="75"/>
      <c r="I100" s="76"/>
    </row>
    <row r="101" spans="1:9" ht="14.25" customHeight="1" thickBot="1" x14ac:dyDescent="0.2">
      <c r="A101" s="9" t="s">
        <v>161</v>
      </c>
      <c r="B101" s="10"/>
      <c r="C101" s="10"/>
      <c r="D101" s="10"/>
      <c r="E101" s="10"/>
      <c r="F101" s="10"/>
      <c r="G101" s="10"/>
      <c r="H101" s="10"/>
      <c r="I101" s="10" t="s">
        <v>162</v>
      </c>
    </row>
    <row r="102" spans="1:9" ht="40.5" customHeight="1" thickBot="1" x14ac:dyDescent="0.2">
      <c r="A102" s="9" t="s">
        <v>163</v>
      </c>
      <c r="B102" s="10"/>
      <c r="C102" s="10"/>
      <c r="D102" s="19">
        <v>0.9</v>
      </c>
      <c r="E102" s="19">
        <v>0.36</v>
      </c>
      <c r="F102" s="19">
        <v>0.65</v>
      </c>
      <c r="G102" s="19">
        <v>1.21</v>
      </c>
      <c r="H102" s="19">
        <v>2.0699999999999998</v>
      </c>
      <c r="I102" s="10" t="s">
        <v>164</v>
      </c>
    </row>
    <row r="103" spans="1:9" x14ac:dyDescent="0.15">
      <c r="A103" s="9"/>
      <c r="B103" s="10"/>
      <c r="C103" s="10"/>
      <c r="D103" s="10"/>
      <c r="E103" s="10"/>
      <c r="F103" s="10"/>
      <c r="G103" s="10"/>
      <c r="H103" s="10"/>
      <c r="I103" s="10"/>
    </row>
    <row r="104" spans="1:9" x14ac:dyDescent="0.15">
      <c r="A104" s="74"/>
      <c r="B104" s="75"/>
      <c r="C104" s="75"/>
      <c r="D104" s="75"/>
      <c r="E104" s="75"/>
      <c r="F104" s="75"/>
      <c r="G104" s="75"/>
      <c r="H104" s="75"/>
      <c r="I104" s="76"/>
    </row>
    <row r="105" spans="1:9" x14ac:dyDescent="0.15">
      <c r="A105" s="74" t="s">
        <v>165</v>
      </c>
      <c r="B105" s="75"/>
      <c r="C105" s="75"/>
      <c r="D105" s="75"/>
      <c r="E105" s="75"/>
      <c r="F105" s="75"/>
      <c r="G105" s="75"/>
      <c r="H105" s="75"/>
      <c r="I105" s="76"/>
    </row>
    <row r="106" spans="1:9" x14ac:dyDescent="0.15">
      <c r="A106" s="9" t="s">
        <v>166</v>
      </c>
      <c r="B106" s="10"/>
      <c r="C106" s="10"/>
      <c r="D106" s="10"/>
      <c r="E106" s="10"/>
      <c r="F106" s="10"/>
      <c r="G106" s="10"/>
      <c r="H106" s="10"/>
      <c r="I106" s="10"/>
    </row>
    <row r="107" spans="1:9" x14ac:dyDescent="0.15">
      <c r="A107" s="9" t="s">
        <v>167</v>
      </c>
      <c r="B107" s="10"/>
      <c r="C107" s="10"/>
      <c r="D107" s="10"/>
      <c r="E107" s="10"/>
      <c r="F107" s="10"/>
      <c r="G107" s="10"/>
      <c r="H107" s="10"/>
      <c r="I107" s="10"/>
    </row>
    <row r="108" spans="1:9" x14ac:dyDescent="0.15">
      <c r="A108" s="20" t="s">
        <v>168</v>
      </c>
      <c r="B108" s="10"/>
      <c r="C108" s="10"/>
      <c r="D108" s="10"/>
      <c r="E108" s="10"/>
      <c r="F108" s="10"/>
      <c r="G108" s="10"/>
      <c r="H108" s="10"/>
      <c r="I108" s="10"/>
    </row>
    <row r="109" spans="1:9" ht="27" customHeight="1" x14ac:dyDescent="0.15">
      <c r="A109" s="9" t="s">
        <v>169</v>
      </c>
      <c r="B109" s="10"/>
      <c r="C109" s="10"/>
      <c r="D109" s="10"/>
      <c r="E109" s="10"/>
      <c r="F109" s="10"/>
      <c r="G109" s="10"/>
      <c r="H109" s="10"/>
      <c r="I109" s="10"/>
    </row>
    <row r="110" spans="1:9" x14ac:dyDescent="0.15">
      <c r="A110" s="9"/>
      <c r="B110" s="10"/>
      <c r="C110" s="10"/>
      <c r="D110" s="10"/>
      <c r="E110" s="10"/>
      <c r="F110" s="10"/>
      <c r="G110" s="10"/>
      <c r="H110" s="10"/>
      <c r="I110" s="10"/>
    </row>
    <row r="111" spans="1:9" x14ac:dyDescent="0.15">
      <c r="A111" s="48"/>
      <c r="B111" s="24"/>
      <c r="C111" s="24"/>
      <c r="D111" s="24"/>
      <c r="E111" s="24"/>
      <c r="F111" s="24"/>
      <c r="G111" s="24"/>
      <c r="H111" s="24"/>
      <c r="I111" s="24"/>
    </row>
    <row r="112" spans="1:9" x14ac:dyDescent="0.15">
      <c r="A112" s="24"/>
    </row>
    <row r="113" spans="1:9" x14ac:dyDescent="0.15">
      <c r="A113" s="95" t="s">
        <v>170</v>
      </c>
      <c r="B113" s="73"/>
      <c r="C113" s="73"/>
      <c r="D113" s="73"/>
      <c r="E113" s="73"/>
      <c r="F113" s="73"/>
      <c r="G113" s="73"/>
      <c r="H113" s="73"/>
      <c r="I113" s="24"/>
    </row>
    <row r="114" spans="1:9" x14ac:dyDescent="0.15">
      <c r="A114" s="24" t="s">
        <v>171</v>
      </c>
      <c r="B114" s="24"/>
      <c r="C114" s="24"/>
      <c r="D114" s="24"/>
      <c r="E114" s="24"/>
      <c r="F114" s="24"/>
      <c r="G114" s="24"/>
      <c r="H114" s="24"/>
      <c r="I114" s="24"/>
    </row>
    <row r="115" spans="1:9" x14ac:dyDescent="0.15">
      <c r="A115" s="13" t="s">
        <v>172</v>
      </c>
      <c r="B115" s="24"/>
      <c r="C115" s="24"/>
      <c r="D115" s="24"/>
      <c r="E115" s="24"/>
      <c r="F115" s="24"/>
      <c r="G115" s="24"/>
      <c r="H115" s="24"/>
      <c r="I115" s="24"/>
    </row>
    <row r="116" spans="1:9" x14ac:dyDescent="0.15">
      <c r="A116" s="92" t="s">
        <v>173</v>
      </c>
      <c r="B116" s="73"/>
      <c r="C116" s="73"/>
      <c r="D116" s="73"/>
      <c r="E116" s="73"/>
      <c r="F116" s="73"/>
      <c r="G116" s="73"/>
      <c r="H116" s="73"/>
      <c r="I116" s="73"/>
    </row>
  </sheetData>
  <mergeCells count="32">
    <mergeCell ref="A113:H113"/>
    <mergeCell ref="A116:I116"/>
    <mergeCell ref="A92:I92"/>
    <mergeCell ref="A93:I93"/>
    <mergeCell ref="A99:I99"/>
    <mergeCell ref="A100:I100"/>
    <mergeCell ref="A104:I104"/>
    <mergeCell ref="A105:I105"/>
    <mergeCell ref="A83:I83"/>
    <mergeCell ref="A52:H52"/>
    <mergeCell ref="A53:H53"/>
    <mergeCell ref="A54:H54"/>
    <mergeCell ref="A55:H55"/>
    <mergeCell ref="A56:H56"/>
    <mergeCell ref="A57:H57"/>
    <mergeCell ref="A58:H58"/>
    <mergeCell ref="A61:H61"/>
    <mergeCell ref="A63:I63"/>
    <mergeCell ref="A70:A73"/>
    <mergeCell ref="A82:I82"/>
    <mergeCell ref="A51:H51"/>
    <mergeCell ref="A12:H12"/>
    <mergeCell ref="A16:G16"/>
    <mergeCell ref="A18:H18"/>
    <mergeCell ref="A19:H19"/>
    <mergeCell ref="A20:H20"/>
    <mergeCell ref="A24:H24"/>
    <mergeCell ref="A44:H44"/>
    <mergeCell ref="A45:H45"/>
    <mergeCell ref="A46:H46"/>
    <mergeCell ref="A47:H47"/>
    <mergeCell ref="A49:H49"/>
  </mergeCells>
  <phoneticPr fontId="1" type="noConversion"/>
  <dataValidations count="8">
    <dataValidation type="list" showInputMessage="1" showErrorMessage="1" sqref="B36">
      <formula1>"妖怪型,老母鸭型,现金奶牛，其他型排除"</formula1>
    </dataValidation>
    <dataValidation type="list" showInputMessage="1" showErrorMessage="1" sqref="B28:B30 B32:B35">
      <formula1>"是,否"</formula1>
    </dataValidation>
    <dataValidation type="list" showInputMessage="1" showErrorMessage="1" sqref="A14">
      <formula1>"2B,2C"</formula1>
    </dataValidation>
    <dataValidation type="list" showInputMessage="1" showErrorMessage="1" sqref="B8">
      <formula1>"电子,计算机,电气设备,通信"</formula1>
    </dataValidation>
    <dataValidation type="list" showInputMessage="1" showErrorMessage="1" sqref="B7">
      <formula1>"采掘,化工,钢铁,有色,房地产,机器设备,建筑装饰,交通运输"</formula1>
    </dataValidation>
    <dataValidation type="list" showInputMessage="1" showErrorMessage="1" sqref="B5">
      <formula1>"银行,非银金融,公共事业"</formula1>
    </dataValidation>
    <dataValidation type="list" showInputMessage="1" showErrorMessage="1" sqref="B4">
      <formula1>"家用电器,食品饮料,纺织服装,医药生物,休闲服务,传媒,汽车, "</formula1>
    </dataValidation>
    <dataValidation type="list" showInputMessage="1" showErrorMessage="1" sqref="A51:H51">
      <formula1>"缓慢增长,高速增长,稳定增长,周期类,困难反正类,隐藏资产类"</formula1>
    </dataValidation>
  </dataValidations>
  <hyperlinks>
    <hyperlink ref="E77" r:id="rId1" display="https://www.iwencai.com/stockpick/search?preParams=&amp;ts=1&amp;f=1&amp;qs=zgxgrh_qyzyxjllfcff=&amp;tid=stockpick&amp;w=002507+%E4%BC%81%E4%B8%9A%E8%87%AA%E7%94%B1%E7%8E%B0%E9%87%91%E6%B5%81%E9%87%8Ffcff"/>
  </hyperlink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14"/>
  <sheetViews>
    <sheetView topLeftCell="A130" workbookViewId="0">
      <selection activeCell="I112" sqref="I112"/>
    </sheetView>
  </sheetViews>
  <sheetFormatPr defaultRowHeight="13.5" x14ac:dyDescent="0.15"/>
  <cols>
    <col min="1" max="1" width="21.875" style="65" customWidth="1"/>
    <col min="2" max="2" width="14.875" style="65" customWidth="1"/>
    <col min="6" max="6" width="11.5" style="65" customWidth="1"/>
    <col min="9" max="9" width="24.375" style="65" customWidth="1"/>
  </cols>
  <sheetData>
    <row r="1" spans="1:8" x14ac:dyDescent="0.15">
      <c r="A1" s="95" t="s">
        <v>64</v>
      </c>
      <c r="B1" s="73"/>
      <c r="C1" s="73"/>
      <c r="D1" s="73"/>
      <c r="E1" s="73"/>
      <c r="F1" s="73"/>
      <c r="G1" s="73"/>
      <c r="H1" s="73"/>
    </row>
    <row r="2" spans="1:8" x14ac:dyDescent="0.15">
      <c r="A2" s="24"/>
      <c r="B2" s="24"/>
      <c r="C2" s="24"/>
      <c r="D2" s="24"/>
    </row>
    <row r="3" spans="1:8" x14ac:dyDescent="0.15">
      <c r="A3" s="24" t="s">
        <v>65</v>
      </c>
      <c r="B3" s="24" t="s">
        <v>66</v>
      </c>
      <c r="C3" s="24"/>
      <c r="D3" s="24"/>
    </row>
    <row r="4" spans="1:8" x14ac:dyDescent="0.15">
      <c r="A4" s="3" t="s">
        <v>67</v>
      </c>
      <c r="B4" s="1"/>
      <c r="C4" s="24"/>
      <c r="D4" s="24"/>
    </row>
    <row r="5" spans="1:8" x14ac:dyDescent="0.15">
      <c r="A5" s="3" t="s">
        <v>68</v>
      </c>
      <c r="B5" s="2"/>
      <c r="C5" s="24"/>
      <c r="D5" s="24"/>
    </row>
    <row r="6" spans="1:8" x14ac:dyDescent="0.15">
      <c r="A6" s="24" t="s">
        <v>69</v>
      </c>
      <c r="B6" s="3"/>
      <c r="C6" s="3"/>
      <c r="D6" s="3"/>
    </row>
    <row r="7" spans="1:8" x14ac:dyDescent="0.15">
      <c r="A7" s="3" t="s">
        <v>70</v>
      </c>
      <c r="B7" s="1"/>
      <c r="C7" s="24"/>
      <c r="D7" s="24"/>
    </row>
    <row r="8" spans="1:8" x14ac:dyDescent="0.15">
      <c r="A8" s="3" t="s">
        <v>71</v>
      </c>
      <c r="B8" s="1" t="s">
        <v>213</v>
      </c>
      <c r="C8" s="24"/>
      <c r="D8" s="24"/>
    </row>
    <row r="9" spans="1:8" x14ac:dyDescent="0.15">
      <c r="A9" s="24" t="s">
        <v>72</v>
      </c>
      <c r="B9" s="24"/>
      <c r="C9" s="24"/>
      <c r="D9" s="24"/>
    </row>
    <row r="10" spans="1:8" x14ac:dyDescent="0.15">
      <c r="A10" s="4" t="s">
        <v>181</v>
      </c>
      <c r="B10" s="24"/>
      <c r="C10" s="24"/>
      <c r="D10" s="24"/>
    </row>
    <row r="12" spans="1:8" ht="44.25" customHeight="1" x14ac:dyDescent="0.15">
      <c r="A12" s="72" t="s">
        <v>74</v>
      </c>
      <c r="B12" s="73"/>
      <c r="C12" s="73"/>
      <c r="D12" s="73"/>
      <c r="E12" s="73"/>
      <c r="F12" s="73"/>
      <c r="G12" s="73"/>
      <c r="H12" s="73"/>
    </row>
    <row r="13" spans="1:8" x14ac:dyDescent="0.15">
      <c r="A13" s="14" t="s">
        <v>75</v>
      </c>
      <c r="B13" s="24"/>
      <c r="C13" s="24"/>
      <c r="D13" s="24"/>
      <c r="E13" s="24"/>
      <c r="F13" s="24"/>
      <c r="G13" s="24"/>
      <c r="H13" s="24"/>
    </row>
    <row r="14" spans="1:8" x14ac:dyDescent="0.15">
      <c r="A14" s="5" t="s">
        <v>214</v>
      </c>
      <c r="B14" s="24"/>
      <c r="C14" s="24"/>
      <c r="D14" s="24"/>
      <c r="E14" s="24"/>
      <c r="F14" s="24"/>
      <c r="G14" s="24"/>
      <c r="H14" s="24"/>
    </row>
    <row r="15" spans="1:8" x14ac:dyDescent="0.15">
      <c r="A15" s="24" t="s">
        <v>76</v>
      </c>
      <c r="B15" s="24"/>
      <c r="C15" s="24"/>
      <c r="D15" s="24"/>
      <c r="E15" s="24"/>
      <c r="F15" s="24"/>
      <c r="G15" s="24"/>
      <c r="H15" s="24"/>
    </row>
    <row r="16" spans="1:8" x14ac:dyDescent="0.15">
      <c r="A16" s="94" t="s">
        <v>215</v>
      </c>
      <c r="B16" s="73"/>
      <c r="C16" s="73"/>
      <c r="D16" s="73"/>
      <c r="E16" s="73"/>
      <c r="F16" s="73"/>
      <c r="G16" s="73"/>
      <c r="H16" s="24"/>
    </row>
    <row r="17" spans="1:9" x14ac:dyDescent="0.15">
      <c r="A17" s="24" t="s">
        <v>77</v>
      </c>
      <c r="B17" s="24"/>
      <c r="C17" s="24"/>
      <c r="D17" s="24"/>
      <c r="E17" s="24"/>
      <c r="F17" s="24"/>
      <c r="G17" s="24"/>
      <c r="H17" s="24"/>
    </row>
    <row r="18" spans="1:9" x14ac:dyDescent="0.15">
      <c r="A18" s="94"/>
      <c r="B18" s="73"/>
      <c r="C18" s="73"/>
      <c r="D18" s="73"/>
      <c r="E18" s="73"/>
      <c r="F18" s="73"/>
      <c r="G18" s="73"/>
      <c r="H18" s="73"/>
    </row>
    <row r="19" spans="1:9" ht="44.25" customHeight="1" x14ac:dyDescent="0.15">
      <c r="A19" s="72" t="s">
        <v>78</v>
      </c>
      <c r="B19" s="73"/>
      <c r="C19" s="73"/>
      <c r="D19" s="73"/>
      <c r="E19" s="73"/>
      <c r="F19" s="73"/>
      <c r="G19" s="73"/>
      <c r="H19" s="73"/>
    </row>
    <row r="20" spans="1:9" x14ac:dyDescent="0.15">
      <c r="A20" s="86"/>
      <c r="B20" s="73"/>
      <c r="C20" s="73"/>
      <c r="D20" s="73"/>
      <c r="E20" s="73"/>
      <c r="F20" s="73"/>
      <c r="G20" s="73"/>
      <c r="H20" s="73"/>
    </row>
    <row r="21" spans="1:9" x14ac:dyDescent="0.15">
      <c r="A21" s="68"/>
      <c r="B21" s="68"/>
      <c r="C21" s="68"/>
      <c r="D21" s="68"/>
      <c r="E21" s="68"/>
      <c r="F21" s="68"/>
      <c r="G21" s="68"/>
      <c r="H21" s="68"/>
    </row>
    <row r="22" spans="1:9" x14ac:dyDescent="0.15">
      <c r="A22" s="68"/>
      <c r="B22" s="68"/>
      <c r="C22" s="68"/>
      <c r="D22" s="68"/>
      <c r="E22" s="68"/>
      <c r="F22" s="68"/>
      <c r="G22" s="68"/>
      <c r="H22" s="68"/>
    </row>
    <row r="24" spans="1:9" x14ac:dyDescent="0.15">
      <c r="A24" s="95" t="s">
        <v>79</v>
      </c>
      <c r="B24" s="73"/>
      <c r="C24" s="73"/>
      <c r="D24" s="73"/>
      <c r="E24" s="73"/>
      <c r="F24" s="73"/>
      <c r="G24" s="73"/>
      <c r="H24" s="73"/>
    </row>
    <row r="25" spans="1:9" x14ac:dyDescent="0.15">
      <c r="A25" s="24" t="s">
        <v>80</v>
      </c>
      <c r="B25" s="24"/>
      <c r="C25" s="24"/>
      <c r="D25" s="24"/>
      <c r="E25" s="24"/>
      <c r="F25" s="24"/>
      <c r="G25" s="24"/>
      <c r="H25" s="24"/>
      <c r="I25" s="24"/>
    </row>
    <row r="26" spans="1:9" x14ac:dyDescent="0.15">
      <c r="A26" s="24"/>
      <c r="B26" s="24"/>
      <c r="C26" s="24"/>
      <c r="D26" s="24"/>
      <c r="E26" s="24"/>
      <c r="F26" s="24"/>
      <c r="G26" s="24"/>
      <c r="H26" s="24"/>
      <c r="I26" s="24"/>
    </row>
    <row r="27" spans="1:9" x14ac:dyDescent="0.15">
      <c r="A27" s="24" t="s">
        <v>81</v>
      </c>
      <c r="B27" s="24" t="s">
        <v>82</v>
      </c>
      <c r="C27" s="24"/>
      <c r="D27" s="24"/>
      <c r="E27" s="24"/>
      <c r="F27" s="24"/>
      <c r="G27" s="24"/>
      <c r="H27" s="24"/>
      <c r="I27" s="24"/>
    </row>
    <row r="28" spans="1:9" x14ac:dyDescent="0.15">
      <c r="A28" s="24" t="s">
        <v>83</v>
      </c>
      <c r="B28" s="16" t="s">
        <v>216</v>
      </c>
      <c r="C28" s="24" t="s">
        <v>84</v>
      </c>
      <c r="D28" s="24"/>
      <c r="E28" s="24"/>
      <c r="F28" s="24"/>
      <c r="G28" s="24"/>
      <c r="H28" s="24"/>
      <c r="I28" s="24"/>
    </row>
    <row r="29" spans="1:9" x14ac:dyDescent="0.15">
      <c r="A29" s="24" t="s">
        <v>85</v>
      </c>
      <c r="B29" s="16" t="s">
        <v>216</v>
      </c>
      <c r="C29" s="24" t="s">
        <v>86</v>
      </c>
      <c r="D29" s="24"/>
      <c r="E29" s="24"/>
      <c r="F29" s="24"/>
      <c r="G29" s="24"/>
      <c r="H29" s="24"/>
      <c r="I29" s="24"/>
    </row>
    <row r="30" spans="1:9" x14ac:dyDescent="0.15">
      <c r="A30" s="24" t="s">
        <v>87</v>
      </c>
      <c r="B30" s="16" t="s">
        <v>216</v>
      </c>
      <c r="C30" s="24" t="s">
        <v>88</v>
      </c>
      <c r="D30" s="24"/>
      <c r="E30" s="24"/>
      <c r="F30" s="24"/>
      <c r="G30" s="24"/>
      <c r="H30" s="24"/>
      <c r="I30" s="24"/>
    </row>
    <row r="31" spans="1:9" x14ac:dyDescent="0.15">
      <c r="A31" s="24"/>
      <c r="B31" s="24"/>
      <c r="C31" s="24"/>
      <c r="D31" s="24"/>
      <c r="E31" s="24"/>
      <c r="F31" s="24"/>
      <c r="G31" s="24"/>
      <c r="H31" s="24"/>
      <c r="I31" s="24"/>
    </row>
    <row r="32" spans="1:9" x14ac:dyDescent="0.15">
      <c r="A32" s="24" t="s">
        <v>89</v>
      </c>
      <c r="B32" s="16" t="s">
        <v>216</v>
      </c>
      <c r="C32" s="24" t="s">
        <v>90</v>
      </c>
      <c r="D32" s="24"/>
      <c r="E32" s="24"/>
      <c r="F32" s="24"/>
      <c r="G32" s="24"/>
      <c r="H32" s="24"/>
      <c r="I32" s="24"/>
    </row>
    <row r="33" spans="1:9" x14ac:dyDescent="0.15">
      <c r="A33" s="24" t="s">
        <v>91</v>
      </c>
      <c r="B33" s="16" t="s">
        <v>216</v>
      </c>
      <c r="C33" s="24" t="s">
        <v>92</v>
      </c>
      <c r="D33" s="24"/>
      <c r="E33" s="24"/>
      <c r="F33" s="24"/>
      <c r="G33" s="24"/>
      <c r="H33" s="24"/>
      <c r="I33" s="24"/>
    </row>
    <row r="34" spans="1:9" ht="17.25" customHeight="1" x14ac:dyDescent="0.15">
      <c r="A34" s="24"/>
      <c r="B34" s="16" t="s">
        <v>216</v>
      </c>
      <c r="C34" s="24" t="s">
        <v>93</v>
      </c>
      <c r="D34" s="24"/>
      <c r="E34" s="24"/>
      <c r="F34" s="24"/>
      <c r="G34" s="24"/>
      <c r="H34" s="24"/>
      <c r="I34" s="24"/>
    </row>
    <row r="35" spans="1:9" ht="17.25" customHeight="1" x14ac:dyDescent="0.15">
      <c r="A35" s="24"/>
      <c r="B35" s="16" t="s">
        <v>216</v>
      </c>
      <c r="C35" s="24" t="s">
        <v>94</v>
      </c>
      <c r="D35" s="24"/>
      <c r="E35" s="24"/>
      <c r="F35" s="24"/>
      <c r="G35" s="24"/>
      <c r="H35" s="24"/>
      <c r="I35" s="24"/>
    </row>
    <row r="36" spans="1:9" x14ac:dyDescent="0.15">
      <c r="A36" s="24" t="s">
        <v>95</v>
      </c>
      <c r="B36" s="16"/>
      <c r="C36" s="24" t="s">
        <v>96</v>
      </c>
      <c r="D36" s="24"/>
      <c r="E36" s="24"/>
      <c r="F36" s="24"/>
      <c r="G36" s="24"/>
      <c r="H36" s="24"/>
      <c r="I36" s="24"/>
    </row>
    <row r="37" spans="1:9" x14ac:dyDescent="0.15">
      <c r="A37" s="24"/>
      <c r="B37" s="24" t="s">
        <v>217</v>
      </c>
      <c r="C37" s="24" t="s">
        <v>97</v>
      </c>
      <c r="D37" s="24"/>
      <c r="E37" s="24"/>
      <c r="F37" s="24"/>
      <c r="G37" s="24"/>
      <c r="H37" s="24"/>
      <c r="I37" s="24"/>
    </row>
    <row r="38" spans="1:9" x14ac:dyDescent="0.15">
      <c r="A38" s="24"/>
      <c r="B38" s="24"/>
      <c r="C38" s="24" t="s">
        <v>98</v>
      </c>
      <c r="D38" s="24"/>
      <c r="E38" s="24"/>
      <c r="F38" s="24"/>
      <c r="G38" s="24"/>
      <c r="H38" s="24"/>
      <c r="I38" s="24"/>
    </row>
    <row r="39" spans="1:9" x14ac:dyDescent="0.15">
      <c r="A39" s="24"/>
      <c r="B39" s="24"/>
      <c r="C39" s="24" t="s">
        <v>218</v>
      </c>
      <c r="D39" s="24"/>
      <c r="E39" s="24"/>
      <c r="F39" s="24"/>
      <c r="G39" s="24"/>
      <c r="H39" s="24"/>
      <c r="I39" s="24"/>
    </row>
    <row r="40" spans="1:9" x14ac:dyDescent="0.15">
      <c r="A40" s="24"/>
      <c r="B40" s="24"/>
      <c r="C40" s="24" t="s">
        <v>100</v>
      </c>
      <c r="D40" s="24"/>
      <c r="E40" s="24"/>
      <c r="F40" s="24"/>
      <c r="G40" s="24"/>
      <c r="H40" s="24"/>
      <c r="I40" s="24"/>
    </row>
    <row r="41" spans="1:9" x14ac:dyDescent="0.15">
      <c r="A41" s="24"/>
      <c r="B41" s="24"/>
      <c r="C41" s="24" t="s">
        <v>101</v>
      </c>
      <c r="D41" s="24"/>
      <c r="E41" s="24"/>
      <c r="F41" s="24"/>
      <c r="G41" s="24"/>
      <c r="H41" s="24"/>
      <c r="I41" s="24"/>
    </row>
    <row r="42" spans="1:9" x14ac:dyDescent="0.15">
      <c r="A42" s="70"/>
      <c r="B42" s="70"/>
      <c r="C42" s="70"/>
      <c r="D42" s="70"/>
      <c r="E42" s="70"/>
      <c r="F42" s="70"/>
      <c r="G42" s="70"/>
      <c r="H42" s="70"/>
    </row>
    <row r="43" spans="1:9" x14ac:dyDescent="0.15">
      <c r="A43" s="24" t="s">
        <v>102</v>
      </c>
      <c r="B43" s="24"/>
      <c r="C43" s="24"/>
      <c r="D43" s="24"/>
      <c r="E43" s="24"/>
      <c r="F43" s="24"/>
      <c r="G43" s="24"/>
      <c r="H43" s="24"/>
    </row>
    <row r="44" spans="1:9" x14ac:dyDescent="0.15">
      <c r="A44" s="72" t="s">
        <v>103</v>
      </c>
      <c r="B44" s="73"/>
      <c r="C44" s="73"/>
      <c r="D44" s="73"/>
      <c r="E44" s="73"/>
      <c r="F44" s="73"/>
      <c r="G44" s="73"/>
      <c r="H44" s="73"/>
    </row>
    <row r="45" spans="1:9" x14ac:dyDescent="0.15">
      <c r="A45" s="86"/>
      <c r="B45" s="73"/>
      <c r="C45" s="73"/>
      <c r="D45" s="73"/>
      <c r="E45" s="73"/>
      <c r="F45" s="73"/>
      <c r="G45" s="73"/>
      <c r="H45" s="73"/>
    </row>
    <row r="46" spans="1:9" x14ac:dyDescent="0.15">
      <c r="A46" s="96" t="s">
        <v>104</v>
      </c>
      <c r="B46" s="73"/>
      <c r="C46" s="73"/>
      <c r="D46" s="73"/>
      <c r="E46" s="73"/>
      <c r="F46" s="73"/>
      <c r="G46" s="73"/>
      <c r="H46" s="73"/>
    </row>
    <row r="47" spans="1:9" x14ac:dyDescent="0.15">
      <c r="A47" s="94"/>
      <c r="B47" s="73"/>
      <c r="C47" s="73"/>
      <c r="D47" s="73"/>
      <c r="E47" s="73"/>
      <c r="F47" s="73"/>
      <c r="G47" s="73"/>
      <c r="H47" s="73"/>
    </row>
    <row r="48" spans="1:9" x14ac:dyDescent="0.15">
      <c r="A48" s="24"/>
      <c r="B48" s="24"/>
      <c r="C48" s="24"/>
      <c r="D48" s="24"/>
      <c r="E48" s="24"/>
      <c r="F48" s="24"/>
      <c r="G48" s="24"/>
      <c r="H48" s="24"/>
    </row>
    <row r="49" spans="1:9" x14ac:dyDescent="0.15">
      <c r="A49" s="96" t="s">
        <v>105</v>
      </c>
      <c r="B49" s="73"/>
      <c r="C49" s="73"/>
      <c r="D49" s="73"/>
      <c r="E49" s="73"/>
      <c r="F49" s="73"/>
      <c r="G49" s="73"/>
      <c r="H49" s="73"/>
    </row>
    <row r="50" spans="1:9" x14ac:dyDescent="0.15">
      <c r="A50" s="24" t="s">
        <v>106</v>
      </c>
      <c r="B50" s="24"/>
      <c r="C50" s="24"/>
      <c r="D50" s="24"/>
      <c r="E50" s="24"/>
      <c r="F50" s="24"/>
      <c r="G50" s="24"/>
      <c r="H50" s="24"/>
    </row>
    <row r="51" spans="1:9" x14ac:dyDescent="0.15">
      <c r="A51" s="93" t="s">
        <v>219</v>
      </c>
      <c r="B51" s="75"/>
      <c r="C51" s="75"/>
      <c r="D51" s="75"/>
      <c r="E51" s="75"/>
      <c r="F51" s="75"/>
      <c r="G51" s="75"/>
      <c r="H51" s="76"/>
    </row>
    <row r="52" spans="1:9" x14ac:dyDescent="0.15">
      <c r="A52" s="96" t="s">
        <v>107</v>
      </c>
      <c r="B52" s="73"/>
      <c r="C52" s="73"/>
      <c r="D52" s="73"/>
      <c r="E52" s="73"/>
      <c r="F52" s="73"/>
      <c r="G52" s="73"/>
      <c r="H52" s="73"/>
    </row>
    <row r="53" spans="1:9" x14ac:dyDescent="0.15">
      <c r="A53" s="96" t="s">
        <v>108</v>
      </c>
      <c r="B53" s="73"/>
      <c r="C53" s="73"/>
      <c r="D53" s="73"/>
      <c r="E53" s="73"/>
      <c r="F53" s="73"/>
      <c r="G53" s="73"/>
      <c r="H53" s="73"/>
    </row>
    <row r="54" spans="1:9" x14ac:dyDescent="0.15">
      <c r="A54" s="96" t="s">
        <v>109</v>
      </c>
      <c r="B54" s="73"/>
      <c r="C54" s="73"/>
      <c r="D54" s="73"/>
      <c r="E54" s="73"/>
      <c r="F54" s="73"/>
      <c r="G54" s="73"/>
      <c r="H54" s="73"/>
    </row>
    <row r="55" spans="1:9" x14ac:dyDescent="0.15">
      <c r="A55" s="96" t="s">
        <v>110</v>
      </c>
      <c r="B55" s="73"/>
      <c r="C55" s="73"/>
      <c r="D55" s="73"/>
      <c r="E55" s="73"/>
      <c r="F55" s="73"/>
      <c r="G55" s="73"/>
      <c r="H55" s="73"/>
    </row>
    <row r="56" spans="1:9" x14ac:dyDescent="0.15">
      <c r="A56" s="72" t="s">
        <v>111</v>
      </c>
      <c r="B56" s="73"/>
      <c r="C56" s="73"/>
      <c r="D56" s="73"/>
      <c r="E56" s="73"/>
      <c r="F56" s="73"/>
      <c r="G56" s="73"/>
      <c r="H56" s="73"/>
    </row>
    <row r="57" spans="1:9" x14ac:dyDescent="0.15">
      <c r="A57" s="72" t="s">
        <v>112</v>
      </c>
      <c r="B57" s="73"/>
      <c r="C57" s="73"/>
      <c r="D57" s="73"/>
      <c r="E57" s="73"/>
      <c r="F57" s="73"/>
      <c r="G57" s="73"/>
      <c r="H57" s="73"/>
    </row>
    <row r="58" spans="1:9" x14ac:dyDescent="0.15">
      <c r="A58" s="97" t="s">
        <v>113</v>
      </c>
      <c r="B58" s="73"/>
      <c r="C58" s="73"/>
      <c r="D58" s="73"/>
      <c r="E58" s="73"/>
      <c r="F58" s="73"/>
      <c r="G58" s="73"/>
      <c r="H58" s="73"/>
    </row>
    <row r="59" spans="1:9" x14ac:dyDescent="0.15">
      <c r="A59" s="24"/>
      <c r="B59" s="24"/>
      <c r="C59" s="24"/>
      <c r="D59" s="24"/>
      <c r="E59" s="24"/>
      <c r="F59" s="24"/>
      <c r="G59" s="24"/>
      <c r="H59" s="24"/>
    </row>
    <row r="60" spans="1:9" x14ac:dyDescent="0.15">
      <c r="A60" s="24" t="s">
        <v>114</v>
      </c>
      <c r="B60" s="24"/>
      <c r="C60" s="24"/>
      <c r="D60" s="24"/>
      <c r="E60" s="24"/>
      <c r="F60" s="24"/>
      <c r="G60" s="24"/>
      <c r="H60" s="24"/>
    </row>
    <row r="61" spans="1:9" x14ac:dyDescent="0.15">
      <c r="A61" s="72" t="s">
        <v>115</v>
      </c>
      <c r="B61" s="73"/>
      <c r="C61" s="73"/>
      <c r="D61" s="73"/>
      <c r="E61" s="73"/>
      <c r="F61" s="73"/>
      <c r="G61" s="73"/>
      <c r="H61" s="73"/>
    </row>
    <row r="62" spans="1:9" ht="14.25" customHeight="1" x14ac:dyDescent="0.15">
      <c r="A62" s="6" t="s">
        <v>116</v>
      </c>
      <c r="B62" s="7"/>
      <c r="C62" s="7" t="s">
        <v>117</v>
      </c>
      <c r="D62" s="7" t="s">
        <v>118</v>
      </c>
      <c r="E62" s="7" t="s">
        <v>119</v>
      </c>
      <c r="F62" s="7" t="s">
        <v>120</v>
      </c>
      <c r="G62" s="7" t="s">
        <v>121</v>
      </c>
      <c r="H62" s="8" t="s">
        <v>122</v>
      </c>
      <c r="I62" s="8" t="s">
        <v>123</v>
      </c>
    </row>
    <row r="63" spans="1:9" ht="14.25" customHeight="1" x14ac:dyDescent="0.15">
      <c r="A63" s="98" t="s">
        <v>124</v>
      </c>
      <c r="B63" s="75"/>
      <c r="C63" s="75"/>
      <c r="D63" s="75"/>
      <c r="E63" s="75"/>
      <c r="F63" s="75"/>
      <c r="G63" s="75"/>
      <c r="H63" s="75"/>
      <c r="I63" s="76"/>
    </row>
    <row r="64" spans="1:9" ht="27.75" customHeight="1" thickBot="1" x14ac:dyDescent="0.2">
      <c r="A64" s="9" t="s">
        <v>125</v>
      </c>
      <c r="B64" s="10"/>
      <c r="C64" s="10"/>
      <c r="D64" s="10"/>
      <c r="E64" s="10"/>
      <c r="F64" s="10"/>
      <c r="G64" s="10"/>
      <c r="H64" s="10"/>
      <c r="I64" s="10" t="s">
        <v>126</v>
      </c>
    </row>
    <row r="65" spans="1:9" ht="54" customHeight="1" thickBot="1" x14ac:dyDescent="0.2">
      <c r="A65" s="9" t="s">
        <v>127</v>
      </c>
      <c r="B65" s="10"/>
      <c r="C65" s="18">
        <v>0.22159999999999999</v>
      </c>
      <c r="D65" s="18">
        <v>0.25469999999999998</v>
      </c>
      <c r="E65" s="18">
        <v>0.248</v>
      </c>
      <c r="F65" s="18">
        <v>0.2359</v>
      </c>
      <c r="G65" s="18">
        <v>0.24440000000000001</v>
      </c>
      <c r="H65" s="18">
        <v>0.35089999999999999</v>
      </c>
      <c r="I65" s="10"/>
    </row>
    <row r="66" spans="1:9" ht="27.75" customHeight="1" thickBot="1" x14ac:dyDescent="0.2">
      <c r="A66" s="9" t="s">
        <v>220</v>
      </c>
      <c r="B66" s="10"/>
      <c r="C66" s="18">
        <v>0.37159999999999999</v>
      </c>
      <c r="D66" s="18">
        <v>0.38229999999999997</v>
      </c>
      <c r="E66" s="18">
        <v>0.37709999999999999</v>
      </c>
      <c r="F66" s="18">
        <v>0.37219999999999998</v>
      </c>
      <c r="G66" s="18">
        <v>0.38140000000000002</v>
      </c>
      <c r="H66" s="18">
        <v>0.42820000000000003</v>
      </c>
      <c r="I66" s="10"/>
    </row>
    <row r="67" spans="1:9" ht="14.25" customHeight="1" thickBot="1" x14ac:dyDescent="0.2">
      <c r="A67" s="9" t="s">
        <v>221</v>
      </c>
      <c r="B67" s="10"/>
      <c r="C67" s="18">
        <v>0.1096</v>
      </c>
      <c r="D67" s="18">
        <v>0.12609999999999999</v>
      </c>
      <c r="E67" s="18">
        <v>0.1358</v>
      </c>
      <c r="F67" s="18">
        <v>0.13700000000000001</v>
      </c>
      <c r="G67" s="18">
        <v>0.15609999999999999</v>
      </c>
      <c r="H67" s="18">
        <v>0.2089</v>
      </c>
      <c r="I67" s="10"/>
    </row>
    <row r="68" spans="1:9" ht="27" customHeight="1" x14ac:dyDescent="0.15">
      <c r="A68" s="9" t="s">
        <v>130</v>
      </c>
      <c r="B68" s="10"/>
      <c r="C68" s="10"/>
      <c r="D68" s="10"/>
      <c r="E68" s="10"/>
      <c r="F68" s="10"/>
      <c r="G68" s="10"/>
      <c r="H68" s="10"/>
      <c r="I68" s="10" t="s">
        <v>222</v>
      </c>
    </row>
    <row r="69" spans="1:9" ht="27" customHeight="1" x14ac:dyDescent="0.15">
      <c r="A69" s="9" t="s">
        <v>131</v>
      </c>
      <c r="B69" s="10"/>
      <c r="C69" s="10"/>
      <c r="D69" s="10"/>
      <c r="E69" s="10"/>
      <c r="F69" s="10"/>
      <c r="G69" s="10"/>
      <c r="H69" s="10"/>
      <c r="I69" s="10"/>
    </row>
    <row r="70" spans="1:9" x14ac:dyDescent="0.15">
      <c r="A70" s="74" t="s">
        <v>132</v>
      </c>
      <c r="B70" s="10" t="s">
        <v>133</v>
      </c>
      <c r="C70" s="21">
        <v>0.3659</v>
      </c>
      <c r="D70" s="21">
        <v>0.48570000000000002</v>
      </c>
      <c r="E70" s="10"/>
      <c r="F70" s="10"/>
      <c r="G70" s="10"/>
      <c r="H70" s="10"/>
      <c r="I70" s="10"/>
    </row>
    <row r="71" spans="1:9" x14ac:dyDescent="0.15">
      <c r="A71" s="90"/>
      <c r="B71" s="10" t="s">
        <v>134</v>
      </c>
      <c r="C71" s="21">
        <v>0.31469999999999998</v>
      </c>
      <c r="D71" s="21">
        <v>0.5081</v>
      </c>
      <c r="E71" s="10"/>
      <c r="F71" s="10"/>
      <c r="G71" s="10"/>
      <c r="H71" s="10"/>
      <c r="I71" s="10"/>
    </row>
    <row r="72" spans="1:9" x14ac:dyDescent="0.15">
      <c r="A72" s="90"/>
      <c r="B72" s="10" t="s">
        <v>135</v>
      </c>
      <c r="C72" s="21">
        <v>0.28210000000000002</v>
      </c>
      <c r="D72" s="21">
        <v>0.47120000000000001</v>
      </c>
      <c r="E72" s="10"/>
      <c r="F72" s="10"/>
      <c r="G72" s="10"/>
      <c r="H72" s="10"/>
      <c r="I72" s="10"/>
    </row>
    <row r="73" spans="1:9" x14ac:dyDescent="0.15">
      <c r="A73" s="91"/>
      <c r="B73" s="10" t="s">
        <v>136</v>
      </c>
      <c r="C73" s="21">
        <v>0.25580000000000003</v>
      </c>
      <c r="D73" s="21">
        <v>0.4138</v>
      </c>
      <c r="E73" s="21"/>
      <c r="F73" s="10"/>
      <c r="G73" s="10"/>
      <c r="H73" s="10"/>
      <c r="I73" s="10"/>
    </row>
    <row r="74" spans="1:9" x14ac:dyDescent="0.15">
      <c r="A74" s="62" t="s">
        <v>137</v>
      </c>
      <c r="B74" s="10"/>
      <c r="C74" s="10"/>
      <c r="D74" s="21"/>
      <c r="E74" s="21"/>
      <c r="F74" s="10"/>
      <c r="G74" s="10"/>
      <c r="H74" s="10"/>
      <c r="I74" s="10"/>
    </row>
    <row r="75" spans="1:9" ht="27" customHeight="1" x14ac:dyDescent="0.15">
      <c r="A75" s="9" t="s">
        <v>138</v>
      </c>
      <c r="B75" s="10"/>
      <c r="C75" s="10"/>
      <c r="D75" s="10"/>
      <c r="E75" s="10"/>
      <c r="F75" s="10"/>
      <c r="G75" s="10"/>
      <c r="H75" s="10"/>
      <c r="I75" s="10"/>
    </row>
    <row r="76" spans="1:9" ht="27" customHeight="1" x14ac:dyDescent="0.15">
      <c r="A76" s="9" t="s">
        <v>139</v>
      </c>
      <c r="B76" s="10"/>
      <c r="C76" s="10"/>
      <c r="D76" s="10"/>
      <c r="E76" s="10"/>
      <c r="F76" s="10"/>
      <c r="G76" s="10"/>
      <c r="H76" s="10"/>
      <c r="I76" s="10"/>
    </row>
    <row r="77" spans="1:9" x14ac:dyDescent="0.15">
      <c r="A77" s="9" t="s">
        <v>140</v>
      </c>
      <c r="B77" s="10"/>
      <c r="C77" s="10"/>
      <c r="D77" s="10"/>
      <c r="E77" s="10"/>
      <c r="F77" s="10"/>
      <c r="G77" s="10"/>
      <c r="H77" s="10"/>
      <c r="I77" s="10"/>
    </row>
    <row r="78" spans="1:9" ht="27" customHeight="1" x14ac:dyDescent="0.15">
      <c r="A78" s="9" t="s">
        <v>141</v>
      </c>
      <c r="B78" s="10"/>
      <c r="C78" s="10"/>
      <c r="D78" s="12"/>
      <c r="E78" s="11"/>
      <c r="F78" s="10"/>
      <c r="G78" s="10"/>
      <c r="H78" s="10"/>
      <c r="I78" s="10"/>
    </row>
    <row r="79" spans="1:9" ht="54" customHeight="1" x14ac:dyDescent="0.15">
      <c r="A79" s="9" t="s">
        <v>142</v>
      </c>
      <c r="B79" s="10"/>
      <c r="C79" s="10"/>
      <c r="D79" s="10"/>
      <c r="E79" s="10"/>
      <c r="F79" s="10"/>
      <c r="G79" s="10"/>
      <c r="H79" s="10"/>
      <c r="I79" s="10"/>
    </row>
    <row r="80" spans="1:9" x14ac:dyDescent="0.15">
      <c r="A80" s="9"/>
      <c r="B80" s="10"/>
      <c r="C80" s="10"/>
      <c r="D80" s="10"/>
      <c r="E80" s="10"/>
      <c r="F80" s="10"/>
      <c r="G80" s="10"/>
      <c r="H80" s="10"/>
      <c r="I80" s="10"/>
    </row>
    <row r="81" spans="1:9" x14ac:dyDescent="0.15">
      <c r="A81" s="74"/>
      <c r="B81" s="75"/>
      <c r="C81" s="75"/>
      <c r="D81" s="75"/>
      <c r="E81" s="75"/>
      <c r="F81" s="75"/>
      <c r="G81" s="75"/>
      <c r="H81" s="75"/>
      <c r="I81" s="76"/>
    </row>
    <row r="82" spans="1:9" ht="14.25" customHeight="1" thickBot="1" x14ac:dyDescent="0.2">
      <c r="A82" s="74" t="s">
        <v>143</v>
      </c>
      <c r="B82" s="75"/>
      <c r="C82" s="75"/>
      <c r="D82" s="75"/>
      <c r="E82" s="75"/>
      <c r="F82" s="75"/>
      <c r="G82" s="75"/>
      <c r="H82" s="75"/>
      <c r="I82" s="76"/>
    </row>
    <row r="83" spans="1:9" ht="14.25" customHeight="1" thickBot="1" x14ac:dyDescent="0.2">
      <c r="A83" s="9" t="s">
        <v>144</v>
      </c>
      <c r="B83" s="10"/>
      <c r="C83" s="19" t="s">
        <v>223</v>
      </c>
      <c r="D83" s="19" t="s">
        <v>224</v>
      </c>
      <c r="E83" s="19" t="s">
        <v>225</v>
      </c>
      <c r="F83" s="19" t="s">
        <v>226</v>
      </c>
      <c r="G83" s="19" t="s">
        <v>227</v>
      </c>
      <c r="H83" s="19" t="s">
        <v>228</v>
      </c>
      <c r="I83" s="10"/>
    </row>
    <row r="84" spans="1:9" ht="14.25" customHeight="1" thickBot="1" x14ac:dyDescent="0.2">
      <c r="A84" s="9" t="s">
        <v>145</v>
      </c>
      <c r="B84" s="10"/>
      <c r="C84" s="22" t="s">
        <v>229</v>
      </c>
      <c r="D84" s="22" t="s">
        <v>230</v>
      </c>
      <c r="E84" s="22" t="s">
        <v>231</v>
      </c>
      <c r="F84" s="22" t="s">
        <v>232</v>
      </c>
      <c r="G84" s="22" t="s">
        <v>233</v>
      </c>
      <c r="H84" s="22" t="s">
        <v>234</v>
      </c>
      <c r="I84" s="10"/>
    </row>
    <row r="85" spans="1:9" ht="14.25" customHeight="1" thickBot="1" x14ac:dyDescent="0.2">
      <c r="A85" s="9" t="s">
        <v>146</v>
      </c>
      <c r="B85" s="10"/>
      <c r="C85" s="18">
        <v>0.25580000000000003</v>
      </c>
      <c r="D85" s="18">
        <v>0.4138</v>
      </c>
      <c r="E85" s="18">
        <v>0.3226</v>
      </c>
      <c r="F85" s="18">
        <v>0.3745</v>
      </c>
      <c r="G85" s="18">
        <v>0.35520000000000002</v>
      </c>
      <c r="H85" s="18">
        <v>0.53210000000000002</v>
      </c>
      <c r="I85" s="10"/>
    </row>
    <row r="86" spans="1:9" ht="14.25" customHeight="1" thickBot="1" x14ac:dyDescent="0.2">
      <c r="A86" s="9" t="s">
        <v>147</v>
      </c>
      <c r="B86" s="10"/>
      <c r="C86" s="19" t="s">
        <v>235</v>
      </c>
      <c r="D86" s="19" t="s">
        <v>236</v>
      </c>
      <c r="E86" s="19" t="s">
        <v>237</v>
      </c>
      <c r="F86" s="19" t="s">
        <v>193</v>
      </c>
      <c r="G86" s="19" t="s">
        <v>238</v>
      </c>
      <c r="H86" s="19" t="s">
        <v>239</v>
      </c>
      <c r="I86" s="10"/>
    </row>
    <row r="87" spans="1:9" ht="14.25" customHeight="1" thickBot="1" x14ac:dyDescent="0.2">
      <c r="A87" s="9" t="s">
        <v>148</v>
      </c>
      <c r="B87" s="10"/>
      <c r="C87" s="18">
        <v>6.3399999999999998E-2</v>
      </c>
      <c r="D87" s="18">
        <v>0.30330000000000001</v>
      </c>
      <c r="E87" s="18">
        <v>0.33</v>
      </c>
      <c r="F87" s="18">
        <v>0.20100000000000001</v>
      </c>
      <c r="G87" s="18">
        <v>1.04E-2</v>
      </c>
      <c r="H87" s="18">
        <v>0.61519999999999997</v>
      </c>
      <c r="I87" s="10"/>
    </row>
    <row r="88" spans="1:9" ht="14.25" customHeight="1" thickBot="1" x14ac:dyDescent="0.2">
      <c r="A88" s="9" t="s">
        <v>149</v>
      </c>
      <c r="B88" s="10"/>
      <c r="C88" s="19" t="s">
        <v>240</v>
      </c>
      <c r="D88" s="19" t="s">
        <v>241</v>
      </c>
      <c r="E88" s="19" t="s">
        <v>242</v>
      </c>
      <c r="F88" s="19" t="s">
        <v>243</v>
      </c>
      <c r="G88" s="19" t="s">
        <v>244</v>
      </c>
      <c r="H88" s="19" t="s">
        <v>245</v>
      </c>
      <c r="I88" s="10"/>
    </row>
    <row r="89" spans="1:9" ht="14.25" customHeight="1" thickBot="1" x14ac:dyDescent="0.2">
      <c r="A89" s="9" t="s">
        <v>150</v>
      </c>
      <c r="B89" s="10"/>
      <c r="C89" s="18">
        <v>6.6100000000000006E-2</v>
      </c>
      <c r="D89" s="18">
        <v>0.3614</v>
      </c>
      <c r="E89" s="18">
        <v>0.27310000000000001</v>
      </c>
      <c r="F89" s="18">
        <v>0.22220000000000001</v>
      </c>
      <c r="G89" s="18">
        <v>-8.6999999999999994E-3</v>
      </c>
      <c r="H89" s="18">
        <v>0.62519999999999998</v>
      </c>
      <c r="I89" s="10"/>
    </row>
    <row r="90" spans="1:9" x14ac:dyDescent="0.15">
      <c r="A90" s="74"/>
      <c r="B90" s="75"/>
      <c r="C90" s="75"/>
      <c r="D90" s="75"/>
      <c r="E90" s="75"/>
      <c r="F90" s="75"/>
      <c r="G90" s="75"/>
      <c r="H90" s="75"/>
      <c r="I90" s="76"/>
    </row>
    <row r="91" spans="1:9" x14ac:dyDescent="0.15">
      <c r="A91" s="74" t="s">
        <v>151</v>
      </c>
      <c r="B91" s="75"/>
      <c r="C91" s="75"/>
      <c r="D91" s="75"/>
      <c r="E91" s="75"/>
      <c r="F91" s="75"/>
      <c r="G91" s="75"/>
      <c r="H91" s="75"/>
      <c r="I91" s="76"/>
    </row>
    <row r="92" spans="1:9" x14ac:dyDescent="0.15">
      <c r="A92" s="9" t="s">
        <v>152</v>
      </c>
      <c r="B92" s="10"/>
      <c r="C92" s="10"/>
      <c r="D92" s="10"/>
      <c r="E92" s="10"/>
      <c r="F92" s="10"/>
      <c r="G92" s="10"/>
      <c r="H92" s="10"/>
      <c r="I92" s="10"/>
    </row>
    <row r="93" spans="1:9" ht="14.25" customHeight="1" thickBot="1" x14ac:dyDescent="0.2">
      <c r="A93" s="9" t="s">
        <v>153</v>
      </c>
      <c r="B93" s="10"/>
      <c r="C93" s="10"/>
      <c r="D93" s="10"/>
      <c r="E93" s="10"/>
      <c r="F93" s="10"/>
      <c r="G93" s="10"/>
      <c r="H93" s="10"/>
      <c r="I93" s="10" t="s">
        <v>154</v>
      </c>
    </row>
    <row r="94" spans="1:9" ht="27.75" customHeight="1" thickBot="1" x14ac:dyDescent="0.2">
      <c r="A94" s="9" t="s">
        <v>155</v>
      </c>
      <c r="B94" s="10"/>
      <c r="C94" s="22">
        <v>1.69</v>
      </c>
      <c r="D94" s="22">
        <v>1.77</v>
      </c>
      <c r="E94" s="22">
        <v>1.93</v>
      </c>
      <c r="F94" s="22">
        <v>2.08</v>
      </c>
      <c r="G94" s="22">
        <v>2.84</v>
      </c>
      <c r="H94" s="22">
        <v>2.83</v>
      </c>
      <c r="I94" s="10" t="s">
        <v>156</v>
      </c>
    </row>
    <row r="95" spans="1:9" ht="14.25" customHeight="1" thickBot="1" x14ac:dyDescent="0.2">
      <c r="A95" s="9" t="s">
        <v>246</v>
      </c>
      <c r="B95" s="10"/>
      <c r="C95" s="19">
        <v>1.36</v>
      </c>
      <c r="D95" s="19">
        <v>1.4</v>
      </c>
      <c r="E95" s="19">
        <v>1.54</v>
      </c>
      <c r="F95" s="19">
        <v>1.65</v>
      </c>
      <c r="G95" s="19">
        <v>1.93</v>
      </c>
      <c r="H95" s="19">
        <v>2.2599999999999998</v>
      </c>
      <c r="I95" s="10"/>
    </row>
    <row r="96" spans="1:9" x14ac:dyDescent="0.15">
      <c r="A96" s="9" t="s">
        <v>158</v>
      </c>
      <c r="B96" s="10"/>
      <c r="C96" s="10"/>
      <c r="D96" s="10"/>
      <c r="E96" s="12"/>
      <c r="F96" s="11"/>
      <c r="G96" s="10"/>
      <c r="H96" s="10"/>
      <c r="I96" s="10" t="s">
        <v>159</v>
      </c>
    </row>
    <row r="97" spans="1:9" x14ac:dyDescent="0.15">
      <c r="A97" s="74"/>
      <c r="B97" s="75"/>
      <c r="C97" s="75"/>
      <c r="D97" s="75"/>
      <c r="E97" s="75"/>
      <c r="F97" s="75"/>
      <c r="G97" s="75"/>
      <c r="H97" s="75"/>
      <c r="I97" s="76"/>
    </row>
    <row r="98" spans="1:9" x14ac:dyDescent="0.15">
      <c r="A98" s="74" t="s">
        <v>160</v>
      </c>
      <c r="B98" s="75"/>
      <c r="C98" s="75"/>
      <c r="D98" s="75"/>
      <c r="E98" s="75"/>
      <c r="F98" s="75"/>
      <c r="G98" s="75"/>
      <c r="H98" s="75"/>
      <c r="I98" s="76"/>
    </row>
    <row r="99" spans="1:9" ht="14.25" customHeight="1" thickBot="1" x14ac:dyDescent="0.2">
      <c r="A99" s="9" t="s">
        <v>161</v>
      </c>
      <c r="B99" s="10"/>
      <c r="C99" s="10"/>
      <c r="D99" s="10"/>
      <c r="E99" s="10"/>
      <c r="F99" s="10"/>
      <c r="G99" s="10"/>
      <c r="H99" s="10"/>
      <c r="I99" s="10" t="s">
        <v>162</v>
      </c>
    </row>
    <row r="100" spans="1:9" ht="40.5" customHeight="1" thickBot="1" x14ac:dyDescent="0.2">
      <c r="A100" s="9" t="s">
        <v>163</v>
      </c>
      <c r="B100" s="10"/>
      <c r="C100" s="19">
        <v>134.86000000000001</v>
      </c>
      <c r="D100" s="19">
        <v>131.30000000000001</v>
      </c>
      <c r="E100" s="19">
        <v>150.97999999999999</v>
      </c>
      <c r="F100" s="19">
        <v>138.13</v>
      </c>
      <c r="G100" s="19">
        <v>119.96</v>
      </c>
      <c r="H100" s="19">
        <v>103.16</v>
      </c>
      <c r="I100" s="10" t="s">
        <v>164</v>
      </c>
    </row>
    <row r="101" spans="1:9" x14ac:dyDescent="0.15">
      <c r="A101" s="9"/>
      <c r="B101" s="10"/>
      <c r="C101" s="10"/>
      <c r="D101" s="10"/>
      <c r="E101" s="10"/>
      <c r="F101" s="10"/>
      <c r="G101" s="10"/>
      <c r="H101" s="10"/>
      <c r="I101" s="10"/>
    </row>
    <row r="102" spans="1:9" x14ac:dyDescent="0.15">
      <c r="A102" s="74"/>
      <c r="B102" s="75"/>
      <c r="C102" s="75"/>
      <c r="D102" s="75"/>
      <c r="E102" s="75"/>
      <c r="F102" s="75"/>
      <c r="G102" s="75"/>
      <c r="H102" s="75"/>
      <c r="I102" s="76"/>
    </row>
    <row r="103" spans="1:9" x14ac:dyDescent="0.15">
      <c r="A103" s="74" t="s">
        <v>165</v>
      </c>
      <c r="B103" s="75"/>
      <c r="C103" s="75"/>
      <c r="D103" s="75"/>
      <c r="E103" s="75"/>
      <c r="F103" s="75"/>
      <c r="G103" s="75"/>
      <c r="H103" s="75"/>
      <c r="I103" s="76"/>
    </row>
    <row r="104" spans="1:9" x14ac:dyDescent="0.15">
      <c r="A104" s="9" t="s">
        <v>166</v>
      </c>
      <c r="B104" s="10"/>
      <c r="C104" s="10"/>
      <c r="D104" s="10"/>
      <c r="E104" s="10"/>
      <c r="F104" s="10"/>
      <c r="G104" s="10"/>
      <c r="H104" s="10"/>
      <c r="I104" s="10"/>
    </row>
    <row r="105" spans="1:9" x14ac:dyDescent="0.15">
      <c r="A105" s="9" t="s">
        <v>167</v>
      </c>
      <c r="B105" s="10"/>
      <c r="C105" s="10"/>
      <c r="D105" s="10"/>
      <c r="E105" s="10"/>
      <c r="F105" s="10"/>
      <c r="G105" s="10"/>
      <c r="H105" s="10"/>
      <c r="I105" s="10"/>
    </row>
    <row r="106" spans="1:9" x14ac:dyDescent="0.15">
      <c r="A106" s="20" t="s">
        <v>168</v>
      </c>
      <c r="B106" s="10"/>
      <c r="C106" s="10"/>
      <c r="D106" s="10"/>
      <c r="E106" s="10"/>
      <c r="F106" s="10"/>
      <c r="G106" s="10"/>
      <c r="H106" s="10"/>
      <c r="I106" s="10"/>
    </row>
    <row r="107" spans="1:9" ht="27" customHeight="1" x14ac:dyDescent="0.15">
      <c r="A107" s="9" t="s">
        <v>169</v>
      </c>
      <c r="B107" s="10"/>
      <c r="C107" s="10"/>
      <c r="D107" s="10"/>
      <c r="E107" s="10"/>
      <c r="F107" s="10"/>
      <c r="G107" s="10"/>
      <c r="H107" s="10"/>
      <c r="I107" s="10"/>
    </row>
    <row r="108" spans="1:9" x14ac:dyDescent="0.15">
      <c r="A108" s="9"/>
      <c r="B108" s="10"/>
      <c r="C108" s="10"/>
      <c r="D108" s="10"/>
      <c r="E108" s="10"/>
      <c r="F108" s="10"/>
      <c r="G108" s="10"/>
      <c r="H108" s="10"/>
      <c r="I108" s="10"/>
    </row>
    <row r="109" spans="1:9" x14ac:dyDescent="0.15">
      <c r="A109" s="48"/>
      <c r="B109" s="24"/>
      <c r="C109" s="24"/>
      <c r="D109" s="24"/>
      <c r="E109" s="24"/>
      <c r="F109" s="24"/>
      <c r="G109" s="24"/>
      <c r="H109" s="24"/>
      <c r="I109" s="24"/>
    </row>
    <row r="110" spans="1:9" x14ac:dyDescent="0.15">
      <c r="A110" s="24"/>
    </row>
    <row r="111" spans="1:9" x14ac:dyDescent="0.15">
      <c r="A111" s="95" t="s">
        <v>170</v>
      </c>
      <c r="B111" s="73"/>
      <c r="C111" s="73"/>
      <c r="D111" s="73"/>
      <c r="E111" s="73"/>
      <c r="F111" s="73"/>
      <c r="G111" s="73"/>
      <c r="H111" s="73"/>
      <c r="I111" s="24"/>
    </row>
    <row r="112" spans="1:9" x14ac:dyDescent="0.15">
      <c r="A112" s="24" t="s">
        <v>171</v>
      </c>
      <c r="B112" s="24"/>
      <c r="C112" s="24"/>
      <c r="D112" s="24"/>
      <c r="E112" s="24"/>
      <c r="F112" s="24"/>
      <c r="G112" s="24"/>
      <c r="H112" s="24"/>
      <c r="I112" s="24"/>
    </row>
    <row r="113" spans="1:9" x14ac:dyDescent="0.15">
      <c r="A113" s="13" t="s">
        <v>172</v>
      </c>
      <c r="B113" s="24"/>
      <c r="C113" s="24"/>
      <c r="D113" s="24"/>
      <c r="E113" s="24"/>
      <c r="F113" s="24"/>
      <c r="G113" s="24"/>
      <c r="H113" s="24"/>
      <c r="I113" s="24"/>
    </row>
    <row r="114" spans="1:9" ht="77.25" customHeight="1" x14ac:dyDescent="0.15">
      <c r="A114" s="92" t="s">
        <v>247</v>
      </c>
      <c r="B114" s="73"/>
      <c r="C114" s="73"/>
      <c r="D114" s="73"/>
      <c r="E114" s="73"/>
      <c r="F114" s="73"/>
      <c r="G114" s="73"/>
      <c r="H114" s="73"/>
      <c r="I114" s="73"/>
    </row>
  </sheetData>
  <mergeCells count="33">
    <mergeCell ref="A103:I103"/>
    <mergeCell ref="A111:H111"/>
    <mergeCell ref="A114:I114"/>
    <mergeCell ref="A82:I82"/>
    <mergeCell ref="A90:I90"/>
    <mergeCell ref="A91:I91"/>
    <mergeCell ref="A97:I97"/>
    <mergeCell ref="A98:I98"/>
    <mergeCell ref="A102:I102"/>
    <mergeCell ref="A81:I81"/>
    <mergeCell ref="A51:H51"/>
    <mergeCell ref="A52:H52"/>
    <mergeCell ref="A53:H53"/>
    <mergeCell ref="A54:H54"/>
    <mergeCell ref="A55:H55"/>
    <mergeCell ref="A56:H56"/>
    <mergeCell ref="A57:H57"/>
    <mergeCell ref="A58:H58"/>
    <mergeCell ref="A61:H61"/>
    <mergeCell ref="A63:I63"/>
    <mergeCell ref="A70:A73"/>
    <mergeCell ref="A49:H49"/>
    <mergeCell ref="A1:H1"/>
    <mergeCell ref="A12:H12"/>
    <mergeCell ref="A16:G16"/>
    <mergeCell ref="A18:H18"/>
    <mergeCell ref="A19:H19"/>
    <mergeCell ref="A20:H20"/>
    <mergeCell ref="A24:H24"/>
    <mergeCell ref="A44:H44"/>
    <mergeCell ref="A45:H45"/>
    <mergeCell ref="A46:H46"/>
    <mergeCell ref="A47:H47"/>
  </mergeCells>
  <phoneticPr fontId="1" type="noConversion"/>
  <dataValidations count="8">
    <dataValidation type="list" showInputMessage="1" showErrorMessage="1" sqref="B36">
      <formula1>"妖怪型,老母鸭型,现金奶牛，其他型排除"</formula1>
    </dataValidation>
    <dataValidation type="list" showInputMessage="1" showErrorMessage="1" sqref="B28:B30 B32:B35">
      <formula1>"是,否"</formula1>
    </dataValidation>
    <dataValidation type="list" showInputMessage="1" showErrorMessage="1" sqref="A14">
      <formula1>"2B,2C"</formula1>
    </dataValidation>
    <dataValidation type="list" showInputMessage="1" showErrorMessage="1" sqref="B8">
      <formula1>"电子,计算机,电气设备,通信"</formula1>
    </dataValidation>
    <dataValidation type="list" showInputMessage="1" showErrorMessage="1" sqref="B7">
      <formula1>"采掘,化工,钢铁,有色,房地产,机器设备,建筑装饰,交通运输"</formula1>
    </dataValidation>
    <dataValidation type="list" showInputMessage="1" showErrorMessage="1" sqref="B5">
      <formula1>"银行,非银金融,公共事业"</formula1>
    </dataValidation>
    <dataValidation type="list" showInputMessage="1" showErrorMessage="1" sqref="B4">
      <formula1>"家用电器,食品饮料,纺织服装,医药生物,休闲服务,传媒,汽车, "</formula1>
    </dataValidation>
    <dataValidation type="list" showInputMessage="1" showErrorMessage="1" sqref="A51:H51">
      <formula1>"缓慢增长,高速增长,稳定增长,周期类,困难反正类,隐藏资产类"</formula1>
    </dataValidation>
  </dataValidations>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114"/>
  <sheetViews>
    <sheetView topLeftCell="A112" workbookViewId="0">
      <selection activeCell="L124" sqref="L124"/>
    </sheetView>
  </sheetViews>
  <sheetFormatPr defaultRowHeight="13.5" x14ac:dyDescent="0.15"/>
  <cols>
    <col min="1" max="1" width="21.875" style="65" customWidth="1"/>
    <col min="2" max="2" width="14.875" style="65" customWidth="1"/>
    <col min="6" max="6" width="11.5" style="65" customWidth="1"/>
    <col min="9" max="9" width="24.375" style="65" customWidth="1"/>
  </cols>
  <sheetData>
    <row r="1" spans="1:8" x14ac:dyDescent="0.15">
      <c r="A1" s="95" t="s">
        <v>64</v>
      </c>
      <c r="B1" s="73"/>
      <c r="C1" s="73"/>
      <c r="D1" s="73"/>
      <c r="E1" s="73"/>
      <c r="F1" s="73"/>
      <c r="G1" s="73"/>
      <c r="H1" s="73"/>
    </row>
    <row r="2" spans="1:8" x14ac:dyDescent="0.15">
      <c r="A2" s="24"/>
      <c r="B2" s="24"/>
      <c r="C2" s="24"/>
      <c r="D2" s="24"/>
    </row>
    <row r="3" spans="1:8" x14ac:dyDescent="0.15">
      <c r="A3" s="24" t="s">
        <v>65</v>
      </c>
      <c r="B3" s="24" t="s">
        <v>66</v>
      </c>
      <c r="C3" s="24"/>
      <c r="D3" s="24"/>
    </row>
    <row r="4" spans="1:8" x14ac:dyDescent="0.15">
      <c r="A4" s="3" t="s">
        <v>67</v>
      </c>
      <c r="B4" s="1"/>
      <c r="C4" s="24"/>
      <c r="D4" s="24"/>
    </row>
    <row r="5" spans="1:8" x14ac:dyDescent="0.15">
      <c r="A5" s="3" t="s">
        <v>68</v>
      </c>
      <c r="B5" s="2" t="s">
        <v>248</v>
      </c>
      <c r="C5" s="24"/>
      <c r="D5" s="24"/>
    </row>
    <row r="6" spans="1:8" x14ac:dyDescent="0.15">
      <c r="A6" s="24" t="s">
        <v>69</v>
      </c>
      <c r="B6" s="3"/>
      <c r="C6" s="3"/>
      <c r="D6" s="3"/>
    </row>
    <row r="7" spans="1:8" x14ac:dyDescent="0.15">
      <c r="A7" s="3" t="s">
        <v>70</v>
      </c>
      <c r="B7" s="1"/>
      <c r="C7" s="24"/>
      <c r="D7" s="24"/>
    </row>
    <row r="8" spans="1:8" x14ac:dyDescent="0.15">
      <c r="A8" s="3" t="s">
        <v>71</v>
      </c>
      <c r="B8" s="1"/>
      <c r="C8" s="24"/>
      <c r="D8" s="24"/>
    </row>
    <row r="9" spans="1:8" x14ac:dyDescent="0.15">
      <c r="A9" s="24" t="s">
        <v>72</v>
      </c>
      <c r="B9" s="24"/>
      <c r="C9" s="24"/>
      <c r="D9" s="24"/>
    </row>
    <row r="10" spans="1:8" x14ac:dyDescent="0.15">
      <c r="A10" s="4" t="s">
        <v>181</v>
      </c>
      <c r="B10" s="24"/>
      <c r="C10" s="24"/>
      <c r="D10" s="24"/>
    </row>
    <row r="12" spans="1:8" ht="44.25" customHeight="1" x14ac:dyDescent="0.15">
      <c r="A12" s="72" t="s">
        <v>74</v>
      </c>
      <c r="B12" s="73"/>
      <c r="C12" s="73"/>
      <c r="D12" s="73"/>
      <c r="E12" s="73"/>
      <c r="F12" s="73"/>
      <c r="G12" s="73"/>
      <c r="H12" s="73"/>
    </row>
    <row r="13" spans="1:8" x14ac:dyDescent="0.15">
      <c r="A13" s="14" t="s">
        <v>75</v>
      </c>
      <c r="B13" s="24"/>
      <c r="C13" s="24"/>
      <c r="D13" s="24"/>
      <c r="E13" s="24"/>
      <c r="F13" s="24"/>
      <c r="G13" s="24"/>
      <c r="H13" s="24"/>
    </row>
    <row r="14" spans="1:8" x14ac:dyDescent="0.15">
      <c r="A14" s="5" t="s">
        <v>182</v>
      </c>
      <c r="B14" s="24"/>
      <c r="C14" s="24"/>
      <c r="D14" s="24"/>
      <c r="E14" s="24"/>
      <c r="F14" s="24"/>
      <c r="G14" s="24"/>
      <c r="H14" s="24"/>
    </row>
    <row r="15" spans="1:8" x14ac:dyDescent="0.15">
      <c r="A15" s="24" t="s">
        <v>76</v>
      </c>
      <c r="B15" s="24"/>
      <c r="C15" s="24"/>
      <c r="D15" s="24"/>
      <c r="E15" s="24"/>
      <c r="F15" s="24"/>
      <c r="G15" s="24"/>
      <c r="H15" s="24"/>
    </row>
    <row r="16" spans="1:8" x14ac:dyDescent="0.15">
      <c r="A16" s="94" t="s">
        <v>215</v>
      </c>
      <c r="B16" s="73"/>
      <c r="C16" s="73"/>
      <c r="D16" s="73"/>
      <c r="E16" s="73"/>
      <c r="F16" s="73"/>
      <c r="G16" s="73"/>
      <c r="H16" s="24"/>
    </row>
    <row r="17" spans="1:9" x14ac:dyDescent="0.15">
      <c r="A17" s="24" t="s">
        <v>77</v>
      </c>
      <c r="B17" s="24"/>
      <c r="C17" s="24"/>
      <c r="D17" s="24"/>
      <c r="E17" s="24"/>
      <c r="F17" s="24"/>
      <c r="G17" s="24"/>
      <c r="H17" s="24"/>
    </row>
    <row r="18" spans="1:9" x14ac:dyDescent="0.15">
      <c r="A18" s="94"/>
      <c r="B18" s="73"/>
      <c r="C18" s="73"/>
      <c r="D18" s="73"/>
      <c r="E18" s="73"/>
      <c r="F18" s="73"/>
      <c r="G18" s="73"/>
      <c r="H18" s="73"/>
    </row>
    <row r="19" spans="1:9" ht="44.25" customHeight="1" x14ac:dyDescent="0.15">
      <c r="A19" s="72" t="s">
        <v>78</v>
      </c>
      <c r="B19" s="73"/>
      <c r="C19" s="73"/>
      <c r="D19" s="73"/>
      <c r="E19" s="73"/>
      <c r="F19" s="73"/>
      <c r="G19" s="73"/>
      <c r="H19" s="73"/>
    </row>
    <row r="20" spans="1:9" x14ac:dyDescent="0.15">
      <c r="A20" s="86"/>
      <c r="B20" s="73"/>
      <c r="C20" s="73"/>
      <c r="D20" s="73"/>
      <c r="E20" s="73"/>
      <c r="F20" s="73"/>
      <c r="G20" s="73"/>
      <c r="H20" s="73"/>
    </row>
    <row r="21" spans="1:9" x14ac:dyDescent="0.15">
      <c r="A21" s="68"/>
      <c r="B21" s="68"/>
      <c r="C21" s="68"/>
      <c r="D21" s="68"/>
      <c r="E21" s="68"/>
      <c r="F21" s="68"/>
      <c r="G21" s="68"/>
      <c r="H21" s="68"/>
    </row>
    <row r="22" spans="1:9" x14ac:dyDescent="0.15">
      <c r="A22" s="68"/>
      <c r="B22" s="68"/>
      <c r="C22" s="68"/>
      <c r="D22" s="68"/>
      <c r="E22" s="68"/>
      <c r="F22" s="68"/>
      <c r="G22" s="68"/>
      <c r="H22" s="68"/>
    </row>
    <row r="24" spans="1:9" x14ac:dyDescent="0.15">
      <c r="A24" s="95" t="s">
        <v>79</v>
      </c>
      <c r="B24" s="73"/>
      <c r="C24" s="73"/>
      <c r="D24" s="73"/>
      <c r="E24" s="73"/>
      <c r="F24" s="73"/>
      <c r="G24" s="73"/>
      <c r="H24" s="73"/>
    </row>
    <row r="25" spans="1:9" x14ac:dyDescent="0.15">
      <c r="A25" s="24" t="s">
        <v>80</v>
      </c>
      <c r="B25" s="24"/>
      <c r="C25" s="24"/>
      <c r="D25" s="24"/>
      <c r="E25" s="24"/>
      <c r="F25" s="24"/>
      <c r="G25" s="24"/>
      <c r="H25" s="24"/>
      <c r="I25" s="24"/>
    </row>
    <row r="26" spans="1:9" x14ac:dyDescent="0.15">
      <c r="A26" s="24"/>
      <c r="B26" s="24"/>
      <c r="C26" s="24"/>
      <c r="D26" s="24"/>
      <c r="E26" s="24"/>
      <c r="F26" s="24"/>
      <c r="G26" s="24"/>
      <c r="H26" s="24"/>
      <c r="I26" s="24"/>
    </row>
    <row r="27" spans="1:9" x14ac:dyDescent="0.15">
      <c r="A27" s="24" t="s">
        <v>81</v>
      </c>
      <c r="B27" s="24" t="s">
        <v>82</v>
      </c>
      <c r="C27" s="24"/>
      <c r="D27" s="24"/>
      <c r="E27" s="24"/>
      <c r="F27" s="24"/>
      <c r="G27" s="24"/>
      <c r="H27" s="24"/>
      <c r="I27" s="24"/>
    </row>
    <row r="28" spans="1:9" x14ac:dyDescent="0.15">
      <c r="A28" s="24" t="s">
        <v>83</v>
      </c>
      <c r="B28" s="16" t="s">
        <v>216</v>
      </c>
      <c r="C28" s="24" t="s">
        <v>84</v>
      </c>
      <c r="D28" s="24"/>
      <c r="E28" s="24"/>
      <c r="F28" s="24"/>
      <c r="G28" s="24"/>
      <c r="H28" s="24"/>
      <c r="I28" s="24"/>
    </row>
    <row r="29" spans="1:9" x14ac:dyDescent="0.15">
      <c r="A29" s="24" t="s">
        <v>85</v>
      </c>
      <c r="B29" s="16" t="s">
        <v>216</v>
      </c>
      <c r="C29" s="24" t="s">
        <v>86</v>
      </c>
      <c r="D29" s="24"/>
      <c r="E29" s="24"/>
      <c r="F29" s="24"/>
      <c r="G29" s="24"/>
      <c r="H29" s="24"/>
      <c r="I29" s="24"/>
    </row>
    <row r="30" spans="1:9" x14ac:dyDescent="0.15">
      <c r="A30" s="24" t="s">
        <v>87</v>
      </c>
      <c r="B30" s="16" t="s">
        <v>216</v>
      </c>
      <c r="C30" s="24" t="s">
        <v>88</v>
      </c>
      <c r="D30" s="24"/>
      <c r="E30" s="24"/>
      <c r="F30" s="24"/>
      <c r="G30" s="24"/>
      <c r="H30" s="24"/>
      <c r="I30" s="24"/>
    </row>
    <row r="31" spans="1:9" x14ac:dyDescent="0.15">
      <c r="A31" s="24"/>
      <c r="B31" s="24"/>
      <c r="C31" s="24"/>
      <c r="D31" s="24"/>
      <c r="E31" s="24"/>
      <c r="F31" s="24"/>
      <c r="G31" s="24"/>
      <c r="H31" s="24"/>
      <c r="I31" s="24"/>
    </row>
    <row r="32" spans="1:9" x14ac:dyDescent="0.15">
      <c r="A32" s="24" t="s">
        <v>89</v>
      </c>
      <c r="B32" s="16" t="s">
        <v>216</v>
      </c>
      <c r="C32" s="24" t="s">
        <v>90</v>
      </c>
      <c r="D32" s="24"/>
      <c r="E32" s="24"/>
      <c r="F32" s="24"/>
      <c r="G32" s="24"/>
      <c r="H32" s="24"/>
      <c r="I32" s="24"/>
    </row>
    <row r="33" spans="1:9" x14ac:dyDescent="0.15">
      <c r="A33" s="24" t="s">
        <v>91</v>
      </c>
      <c r="B33" s="16" t="s">
        <v>216</v>
      </c>
      <c r="C33" s="24" t="s">
        <v>92</v>
      </c>
      <c r="D33" s="24"/>
      <c r="E33" s="24"/>
      <c r="F33" s="24"/>
      <c r="G33" s="24"/>
      <c r="H33" s="24"/>
      <c r="I33" s="24"/>
    </row>
    <row r="34" spans="1:9" ht="17.25" customHeight="1" x14ac:dyDescent="0.15">
      <c r="A34" s="24"/>
      <c r="B34" s="16" t="s">
        <v>216</v>
      </c>
      <c r="C34" s="24" t="s">
        <v>93</v>
      </c>
      <c r="D34" s="24"/>
      <c r="E34" s="24"/>
      <c r="F34" s="24"/>
      <c r="G34" s="24"/>
      <c r="H34" s="24"/>
      <c r="I34" s="24"/>
    </row>
    <row r="35" spans="1:9" ht="17.25" customHeight="1" x14ac:dyDescent="0.15">
      <c r="A35" s="24"/>
      <c r="B35" s="16" t="s">
        <v>216</v>
      </c>
      <c r="C35" s="24" t="s">
        <v>94</v>
      </c>
      <c r="D35" s="24"/>
      <c r="E35" s="24"/>
      <c r="F35" s="24"/>
      <c r="G35" s="24"/>
      <c r="H35" s="24"/>
      <c r="I35" s="24"/>
    </row>
    <row r="36" spans="1:9" x14ac:dyDescent="0.15">
      <c r="A36" s="24" t="s">
        <v>95</v>
      </c>
      <c r="B36" s="16" t="s">
        <v>249</v>
      </c>
      <c r="C36" s="24" t="s">
        <v>96</v>
      </c>
      <c r="D36" s="24"/>
      <c r="E36" s="24"/>
      <c r="F36" s="24"/>
      <c r="G36" s="24"/>
      <c r="H36" s="24"/>
      <c r="I36" s="24"/>
    </row>
    <row r="37" spans="1:9" x14ac:dyDescent="0.15">
      <c r="A37" s="24"/>
      <c r="B37" s="24"/>
      <c r="C37" s="24" t="s">
        <v>97</v>
      </c>
      <c r="D37" s="24"/>
      <c r="E37" s="24"/>
      <c r="F37" s="24"/>
      <c r="G37" s="24"/>
      <c r="H37" s="24"/>
      <c r="I37" s="24"/>
    </row>
    <row r="38" spans="1:9" x14ac:dyDescent="0.15">
      <c r="A38" s="24"/>
      <c r="B38" s="24"/>
      <c r="C38" s="24" t="s">
        <v>98</v>
      </c>
      <c r="D38" s="24"/>
      <c r="E38" s="24"/>
      <c r="F38" s="24"/>
      <c r="G38" s="24"/>
      <c r="H38" s="24"/>
      <c r="I38" s="24"/>
    </row>
    <row r="39" spans="1:9" x14ac:dyDescent="0.15">
      <c r="A39" s="24"/>
      <c r="B39" s="24"/>
      <c r="C39" s="24" t="s">
        <v>99</v>
      </c>
      <c r="D39" s="24"/>
      <c r="E39" s="24"/>
      <c r="F39" s="24"/>
      <c r="G39" s="24"/>
      <c r="H39" s="24"/>
      <c r="I39" s="24"/>
    </row>
    <row r="40" spans="1:9" x14ac:dyDescent="0.15">
      <c r="A40" s="24"/>
      <c r="B40" s="24"/>
      <c r="C40" s="24" t="s">
        <v>100</v>
      </c>
      <c r="D40" s="24"/>
      <c r="E40" s="24"/>
      <c r="F40" s="24"/>
      <c r="G40" s="24"/>
      <c r="H40" s="24"/>
      <c r="I40" s="24"/>
    </row>
    <row r="41" spans="1:9" x14ac:dyDescent="0.15">
      <c r="A41" s="24"/>
      <c r="B41" s="24"/>
      <c r="C41" s="24" t="s">
        <v>101</v>
      </c>
      <c r="D41" s="24"/>
      <c r="E41" s="24"/>
      <c r="F41" s="24"/>
      <c r="G41" s="24"/>
      <c r="H41" s="24"/>
      <c r="I41" s="24"/>
    </row>
    <row r="42" spans="1:9" x14ac:dyDescent="0.15">
      <c r="A42" s="70"/>
      <c r="B42" s="70"/>
      <c r="C42" s="70"/>
      <c r="D42" s="70"/>
      <c r="E42" s="70"/>
      <c r="F42" s="70"/>
      <c r="G42" s="70"/>
      <c r="H42" s="70"/>
    </row>
    <row r="43" spans="1:9" x14ac:dyDescent="0.15">
      <c r="A43" s="24" t="s">
        <v>102</v>
      </c>
      <c r="B43" s="24"/>
      <c r="C43" s="24"/>
      <c r="D43" s="24"/>
      <c r="E43" s="24"/>
      <c r="F43" s="24"/>
      <c r="G43" s="24"/>
      <c r="H43" s="24"/>
    </row>
    <row r="44" spans="1:9" x14ac:dyDescent="0.15">
      <c r="A44" s="72" t="s">
        <v>103</v>
      </c>
      <c r="B44" s="73"/>
      <c r="C44" s="73"/>
      <c r="D44" s="73"/>
      <c r="E44" s="73"/>
      <c r="F44" s="73"/>
      <c r="G44" s="73"/>
      <c r="H44" s="73"/>
    </row>
    <row r="45" spans="1:9" x14ac:dyDescent="0.15">
      <c r="A45" s="86"/>
      <c r="B45" s="73"/>
      <c r="C45" s="73"/>
      <c r="D45" s="73"/>
      <c r="E45" s="73"/>
      <c r="F45" s="73"/>
      <c r="G45" s="73"/>
      <c r="H45" s="73"/>
    </row>
    <row r="46" spans="1:9" x14ac:dyDescent="0.15">
      <c r="A46" s="96" t="s">
        <v>104</v>
      </c>
      <c r="B46" s="73"/>
      <c r="C46" s="73"/>
      <c r="D46" s="73"/>
      <c r="E46" s="73"/>
      <c r="F46" s="73"/>
      <c r="G46" s="73"/>
      <c r="H46" s="73"/>
    </row>
    <row r="47" spans="1:9" x14ac:dyDescent="0.15">
      <c r="A47" s="94"/>
      <c r="B47" s="73"/>
      <c r="C47" s="73"/>
      <c r="D47" s="73"/>
      <c r="E47" s="73"/>
      <c r="F47" s="73"/>
      <c r="G47" s="73"/>
      <c r="H47" s="73"/>
    </row>
    <row r="48" spans="1:9" x14ac:dyDescent="0.15">
      <c r="A48" s="24"/>
      <c r="B48" s="24"/>
      <c r="C48" s="24"/>
      <c r="D48" s="24"/>
      <c r="E48" s="24"/>
      <c r="F48" s="24"/>
      <c r="G48" s="24"/>
      <c r="H48" s="24"/>
    </row>
    <row r="49" spans="1:9" x14ac:dyDescent="0.15">
      <c r="A49" s="96" t="s">
        <v>105</v>
      </c>
      <c r="B49" s="73"/>
      <c r="C49" s="73"/>
      <c r="D49" s="73"/>
      <c r="E49" s="73"/>
      <c r="F49" s="73"/>
      <c r="G49" s="73"/>
      <c r="H49" s="73"/>
    </row>
    <row r="50" spans="1:9" x14ac:dyDescent="0.15">
      <c r="A50" s="24" t="s">
        <v>106</v>
      </c>
      <c r="B50" s="24"/>
      <c r="C50" s="24"/>
      <c r="D50" s="24"/>
      <c r="E50" s="24"/>
      <c r="F50" s="24"/>
      <c r="G50" s="24"/>
      <c r="H50" s="24"/>
    </row>
    <row r="51" spans="1:9" x14ac:dyDescent="0.15">
      <c r="A51" s="93" t="s">
        <v>219</v>
      </c>
      <c r="B51" s="75"/>
      <c r="C51" s="75"/>
      <c r="D51" s="75"/>
      <c r="E51" s="75"/>
      <c r="F51" s="75"/>
      <c r="G51" s="75"/>
      <c r="H51" s="76"/>
    </row>
    <row r="52" spans="1:9" x14ac:dyDescent="0.15">
      <c r="A52" s="96" t="s">
        <v>107</v>
      </c>
      <c r="B52" s="73"/>
      <c r="C52" s="73"/>
      <c r="D52" s="73"/>
      <c r="E52" s="73"/>
      <c r="F52" s="73"/>
      <c r="G52" s="73"/>
      <c r="H52" s="73"/>
    </row>
    <row r="53" spans="1:9" x14ac:dyDescent="0.15">
      <c r="A53" s="96" t="s">
        <v>108</v>
      </c>
      <c r="B53" s="73"/>
      <c r="C53" s="73"/>
      <c r="D53" s="73"/>
      <c r="E53" s="73"/>
      <c r="F53" s="73"/>
      <c r="G53" s="73"/>
      <c r="H53" s="73"/>
    </row>
    <row r="54" spans="1:9" x14ac:dyDescent="0.15">
      <c r="A54" s="96" t="s">
        <v>109</v>
      </c>
      <c r="B54" s="73"/>
      <c r="C54" s="73"/>
      <c r="D54" s="73"/>
      <c r="E54" s="73"/>
      <c r="F54" s="73"/>
      <c r="G54" s="73"/>
      <c r="H54" s="73"/>
    </row>
    <row r="55" spans="1:9" x14ac:dyDescent="0.15">
      <c r="A55" s="96" t="s">
        <v>110</v>
      </c>
      <c r="B55" s="73"/>
      <c r="C55" s="73"/>
      <c r="D55" s="73"/>
      <c r="E55" s="73"/>
      <c r="F55" s="73"/>
      <c r="G55" s="73"/>
      <c r="H55" s="73"/>
    </row>
    <row r="56" spans="1:9" x14ac:dyDescent="0.15">
      <c r="A56" s="72" t="s">
        <v>111</v>
      </c>
      <c r="B56" s="73"/>
      <c r="C56" s="73"/>
      <c r="D56" s="73"/>
      <c r="E56" s="73"/>
      <c r="F56" s="73"/>
      <c r="G56" s="73"/>
      <c r="H56" s="73"/>
    </row>
    <row r="57" spans="1:9" x14ac:dyDescent="0.15">
      <c r="A57" s="72" t="s">
        <v>112</v>
      </c>
      <c r="B57" s="73"/>
      <c r="C57" s="73"/>
      <c r="D57" s="73"/>
      <c r="E57" s="73"/>
      <c r="F57" s="73"/>
      <c r="G57" s="73"/>
      <c r="H57" s="73"/>
    </row>
    <row r="58" spans="1:9" x14ac:dyDescent="0.15">
      <c r="A58" s="97" t="s">
        <v>113</v>
      </c>
      <c r="B58" s="73"/>
      <c r="C58" s="73"/>
      <c r="D58" s="73"/>
      <c r="E58" s="73"/>
      <c r="F58" s="73"/>
      <c r="G58" s="73"/>
      <c r="H58" s="73"/>
    </row>
    <row r="59" spans="1:9" x14ac:dyDescent="0.15">
      <c r="A59" s="24"/>
      <c r="B59" s="24"/>
      <c r="C59" s="24"/>
      <c r="D59" s="24"/>
      <c r="E59" s="24"/>
      <c r="F59" s="24"/>
      <c r="G59" s="24"/>
      <c r="H59" s="24"/>
    </row>
    <row r="60" spans="1:9" x14ac:dyDescent="0.15">
      <c r="A60" s="24" t="s">
        <v>114</v>
      </c>
      <c r="B60" s="24"/>
      <c r="C60" s="24"/>
      <c r="D60" s="24"/>
      <c r="E60" s="24"/>
      <c r="F60" s="24"/>
      <c r="G60" s="24"/>
      <c r="H60" s="24"/>
    </row>
    <row r="61" spans="1:9" x14ac:dyDescent="0.15">
      <c r="A61" s="72" t="s">
        <v>115</v>
      </c>
      <c r="B61" s="73"/>
      <c r="C61" s="73"/>
      <c r="D61" s="73"/>
      <c r="E61" s="73"/>
      <c r="F61" s="73"/>
      <c r="G61" s="73"/>
      <c r="H61" s="73"/>
    </row>
    <row r="62" spans="1:9" ht="14.25" customHeight="1" x14ac:dyDescent="0.15">
      <c r="A62" s="6" t="s">
        <v>116</v>
      </c>
      <c r="B62" s="7"/>
      <c r="C62" s="7" t="s">
        <v>117</v>
      </c>
      <c r="D62" s="7" t="s">
        <v>118</v>
      </c>
      <c r="E62" s="7" t="s">
        <v>119</v>
      </c>
      <c r="F62" s="7" t="s">
        <v>120</v>
      </c>
      <c r="G62" s="7" t="s">
        <v>121</v>
      </c>
      <c r="H62" s="8" t="s">
        <v>122</v>
      </c>
      <c r="I62" s="8" t="s">
        <v>123</v>
      </c>
    </row>
    <row r="63" spans="1:9" ht="14.25" customHeight="1" x14ac:dyDescent="0.15">
      <c r="A63" s="98" t="s">
        <v>124</v>
      </c>
      <c r="B63" s="75"/>
      <c r="C63" s="75"/>
      <c r="D63" s="75"/>
      <c r="E63" s="75"/>
      <c r="F63" s="75"/>
      <c r="G63" s="75"/>
      <c r="H63" s="75"/>
      <c r="I63" s="76"/>
    </row>
    <row r="64" spans="1:9" ht="27.75" customHeight="1" thickBot="1" x14ac:dyDescent="0.2">
      <c r="A64" s="9" t="s">
        <v>125</v>
      </c>
      <c r="B64" s="10"/>
      <c r="C64" s="10"/>
      <c r="D64" s="10"/>
      <c r="E64" s="10"/>
      <c r="F64" s="10"/>
      <c r="G64" s="10"/>
      <c r="H64" s="10"/>
      <c r="I64" s="10" t="s">
        <v>126</v>
      </c>
    </row>
    <row r="65" spans="1:9" ht="54" customHeight="1" thickBot="1" x14ac:dyDescent="0.2">
      <c r="A65" s="9" t="s">
        <v>127</v>
      </c>
      <c r="B65" s="10"/>
      <c r="C65" s="18">
        <v>0.18720000000000001</v>
      </c>
      <c r="D65" s="18">
        <v>0.19020000000000001</v>
      </c>
      <c r="E65" s="18">
        <v>0.1774</v>
      </c>
      <c r="F65" s="18">
        <v>0.17680000000000001</v>
      </c>
      <c r="G65" s="18">
        <v>0.19450000000000001</v>
      </c>
      <c r="H65" s="18">
        <v>0.2041</v>
      </c>
      <c r="I65" s="10"/>
    </row>
    <row r="66" spans="1:9" ht="27.75" customHeight="1" thickBot="1" x14ac:dyDescent="0.2">
      <c r="A66" s="9" t="s">
        <v>220</v>
      </c>
      <c r="B66" s="10"/>
      <c r="C66" s="10"/>
      <c r="D66" s="10"/>
      <c r="E66" s="10"/>
      <c r="F66" s="10"/>
      <c r="G66" s="10"/>
      <c r="H66" s="10"/>
      <c r="I66" s="10"/>
    </row>
    <row r="67" spans="1:9" ht="14.25" customHeight="1" thickBot="1" x14ac:dyDescent="0.2">
      <c r="A67" s="9" t="s">
        <v>221</v>
      </c>
      <c r="B67" s="10"/>
      <c r="C67" s="18">
        <v>0.38790000000000002</v>
      </c>
      <c r="D67" s="18">
        <v>0.36959999999999998</v>
      </c>
      <c r="E67" s="18">
        <v>0.33079999999999998</v>
      </c>
      <c r="F67" s="18">
        <v>0.33650000000000002</v>
      </c>
      <c r="G67" s="18">
        <v>0.3669</v>
      </c>
      <c r="H67" s="18">
        <v>0.37980000000000003</v>
      </c>
      <c r="I67" s="10"/>
    </row>
    <row r="68" spans="1:9" ht="27" customHeight="1" x14ac:dyDescent="0.15">
      <c r="A68" s="9" t="s">
        <v>130</v>
      </c>
      <c r="B68" s="10"/>
      <c r="C68" s="10"/>
      <c r="D68" s="10"/>
      <c r="E68" s="10"/>
      <c r="F68" s="10"/>
      <c r="G68" s="10"/>
      <c r="H68" s="10"/>
      <c r="I68" s="10" t="s">
        <v>222</v>
      </c>
    </row>
    <row r="69" spans="1:9" ht="27" customHeight="1" x14ac:dyDescent="0.15">
      <c r="A69" s="9" t="s">
        <v>131</v>
      </c>
      <c r="B69" s="10"/>
      <c r="C69" s="10"/>
      <c r="D69" s="10"/>
      <c r="E69" s="10"/>
      <c r="F69" s="10"/>
      <c r="G69" s="10"/>
      <c r="H69" s="10"/>
      <c r="I69" s="10"/>
    </row>
    <row r="70" spans="1:9" x14ac:dyDescent="0.15">
      <c r="A70" s="74" t="s">
        <v>132</v>
      </c>
      <c r="B70" s="10" t="s">
        <v>133</v>
      </c>
      <c r="C70" s="21">
        <v>2.3E-2</v>
      </c>
      <c r="D70" s="21">
        <v>5.8900000000000001E-2</v>
      </c>
      <c r="E70" s="10"/>
      <c r="F70" s="10"/>
      <c r="G70" s="10"/>
      <c r="H70" s="10"/>
      <c r="I70" s="10"/>
    </row>
    <row r="71" spans="1:9" x14ac:dyDescent="0.15">
      <c r="A71" s="90"/>
      <c r="B71" s="10" t="s">
        <v>134</v>
      </c>
      <c r="C71" s="21">
        <v>9.7900000000000001E-2</v>
      </c>
      <c r="D71" s="21">
        <v>2.24E-2</v>
      </c>
      <c r="E71" s="10"/>
      <c r="F71" s="10"/>
      <c r="G71" s="10"/>
      <c r="H71" s="10"/>
      <c r="I71" s="10"/>
    </row>
    <row r="72" spans="1:9" x14ac:dyDescent="0.15">
      <c r="A72" s="90"/>
      <c r="B72" s="10" t="s">
        <v>135</v>
      </c>
      <c r="C72" s="21">
        <v>0.14119999999999999</v>
      </c>
      <c r="D72" s="21">
        <v>3.5400000000000001E-2</v>
      </c>
      <c r="E72" s="10"/>
      <c r="F72" s="10"/>
      <c r="G72" s="10"/>
      <c r="H72" s="10"/>
      <c r="I72" s="10"/>
    </row>
    <row r="73" spans="1:9" x14ac:dyDescent="0.15">
      <c r="A73" s="91"/>
      <c r="B73" s="10" t="s">
        <v>136</v>
      </c>
      <c r="C73" s="21">
        <v>0.14280000000000001</v>
      </c>
      <c r="D73" s="21">
        <v>7.0599999999999996E-2</v>
      </c>
      <c r="E73" s="21">
        <v>0.21160000000000001</v>
      </c>
      <c r="F73" s="10"/>
      <c r="G73" s="10"/>
      <c r="H73" s="10"/>
      <c r="I73" s="10"/>
    </row>
    <row r="74" spans="1:9" x14ac:dyDescent="0.15">
      <c r="A74" s="62" t="s">
        <v>137</v>
      </c>
      <c r="B74" s="10"/>
      <c r="C74" s="10"/>
      <c r="D74" s="21"/>
      <c r="E74" s="21"/>
      <c r="F74" s="10"/>
      <c r="G74" s="10"/>
      <c r="H74" s="10"/>
      <c r="I74" s="10"/>
    </row>
    <row r="75" spans="1:9" ht="27" customHeight="1" x14ac:dyDescent="0.15">
      <c r="A75" s="9" t="s">
        <v>138</v>
      </c>
      <c r="B75" s="10"/>
      <c r="C75" s="10"/>
      <c r="D75" s="10"/>
      <c r="E75" s="10"/>
      <c r="F75" s="10"/>
      <c r="G75" s="10"/>
      <c r="H75" s="10"/>
      <c r="I75" s="10"/>
    </row>
    <row r="76" spans="1:9" ht="27" customHeight="1" x14ac:dyDescent="0.15">
      <c r="A76" s="9" t="s">
        <v>139</v>
      </c>
      <c r="B76" s="10"/>
      <c r="C76" s="10"/>
      <c r="D76" s="10"/>
      <c r="E76" s="10"/>
      <c r="F76" s="10"/>
      <c r="G76" s="10"/>
      <c r="H76" s="10"/>
      <c r="I76" s="10"/>
    </row>
    <row r="77" spans="1:9" x14ac:dyDescent="0.15">
      <c r="A77" s="9" t="s">
        <v>140</v>
      </c>
      <c r="B77" s="10"/>
      <c r="C77" s="10"/>
      <c r="D77" s="10"/>
      <c r="E77" s="10"/>
      <c r="F77" s="10"/>
      <c r="G77" s="10"/>
      <c r="H77" s="10"/>
      <c r="I77" s="10"/>
    </row>
    <row r="78" spans="1:9" ht="27" customHeight="1" x14ac:dyDescent="0.15">
      <c r="A78" s="9" t="s">
        <v>141</v>
      </c>
      <c r="B78" s="10"/>
      <c r="C78" s="10"/>
      <c r="D78" s="12"/>
      <c r="E78" s="11"/>
      <c r="F78" s="10"/>
      <c r="G78" s="10"/>
      <c r="H78" s="10"/>
      <c r="I78" s="10"/>
    </row>
    <row r="79" spans="1:9" ht="54" customHeight="1" x14ac:dyDescent="0.15">
      <c r="A79" s="9" t="s">
        <v>142</v>
      </c>
      <c r="B79" s="10"/>
      <c r="C79" s="10"/>
      <c r="D79" s="10"/>
      <c r="E79" s="10"/>
      <c r="F79" s="10"/>
      <c r="G79" s="10"/>
      <c r="H79" s="10"/>
      <c r="I79" s="10"/>
    </row>
    <row r="80" spans="1:9" x14ac:dyDescent="0.15">
      <c r="A80" s="9"/>
      <c r="B80" s="10"/>
      <c r="C80" s="10"/>
      <c r="D80" s="10"/>
      <c r="E80" s="10"/>
      <c r="F80" s="10"/>
      <c r="G80" s="10"/>
      <c r="H80" s="10"/>
      <c r="I80" s="10"/>
    </row>
    <row r="81" spans="1:9" x14ac:dyDescent="0.15">
      <c r="A81" s="74"/>
      <c r="B81" s="75"/>
      <c r="C81" s="75"/>
      <c r="D81" s="75"/>
      <c r="E81" s="75"/>
      <c r="F81" s="75"/>
      <c r="G81" s="75"/>
      <c r="H81" s="75"/>
      <c r="I81" s="76"/>
    </row>
    <row r="82" spans="1:9" ht="14.25" customHeight="1" thickBot="1" x14ac:dyDescent="0.2">
      <c r="A82" s="74" t="s">
        <v>143</v>
      </c>
      <c r="B82" s="75"/>
      <c r="C82" s="75"/>
      <c r="D82" s="75"/>
      <c r="E82" s="75"/>
      <c r="F82" s="75"/>
      <c r="G82" s="75"/>
      <c r="H82" s="75"/>
      <c r="I82" s="76"/>
    </row>
    <row r="83" spans="1:9" ht="14.25" customHeight="1" thickBot="1" x14ac:dyDescent="0.2">
      <c r="A83" s="9" t="s">
        <v>144</v>
      </c>
      <c r="B83" s="10"/>
      <c r="C83" s="19" t="s">
        <v>250</v>
      </c>
      <c r="D83" s="19" t="s">
        <v>251</v>
      </c>
      <c r="E83" s="19" t="s">
        <v>252</v>
      </c>
      <c r="F83" s="19" t="s">
        <v>253</v>
      </c>
      <c r="G83" s="19" t="s">
        <v>254</v>
      </c>
      <c r="H83" s="19" t="s">
        <v>255</v>
      </c>
      <c r="I83" s="10"/>
    </row>
    <row r="84" spans="1:9" ht="14.25" customHeight="1" thickBot="1" x14ac:dyDescent="0.2">
      <c r="A84" s="9" t="s">
        <v>145</v>
      </c>
      <c r="B84" s="10"/>
      <c r="C84" s="19" t="s">
        <v>256</v>
      </c>
      <c r="D84" s="19" t="s">
        <v>257</v>
      </c>
      <c r="E84" s="19" t="s">
        <v>258</v>
      </c>
      <c r="F84" s="19" t="s">
        <v>259</v>
      </c>
      <c r="G84" s="19" t="s">
        <v>260</v>
      </c>
      <c r="H84" s="19" t="s">
        <v>261</v>
      </c>
      <c r="I84" s="10"/>
    </row>
    <row r="85" spans="1:9" ht="14.25" customHeight="1" thickBot="1" x14ac:dyDescent="0.2">
      <c r="A85" s="9" t="s">
        <v>146</v>
      </c>
      <c r="B85" s="10"/>
      <c r="C85" s="18">
        <v>0.14280000000000001</v>
      </c>
      <c r="D85" s="18">
        <v>7.0599999999999996E-2</v>
      </c>
      <c r="E85" s="18">
        <v>0.21160000000000001</v>
      </c>
      <c r="F85" s="18">
        <v>0.27089999999999997</v>
      </c>
      <c r="G85" s="18">
        <v>0.2034</v>
      </c>
      <c r="H85" s="18">
        <v>0.23400000000000001</v>
      </c>
      <c r="I85" s="10"/>
    </row>
    <row r="86" spans="1:9" ht="14.25" customHeight="1" thickBot="1" x14ac:dyDescent="0.2">
      <c r="A86" s="9" t="s">
        <v>147</v>
      </c>
      <c r="B86" s="10"/>
      <c r="C86" s="19" t="s">
        <v>262</v>
      </c>
      <c r="D86" s="19" t="s">
        <v>263</v>
      </c>
      <c r="E86" s="19" t="s">
        <v>264</v>
      </c>
      <c r="F86" s="19" t="s">
        <v>265</v>
      </c>
      <c r="G86" s="19" t="s">
        <v>266</v>
      </c>
      <c r="H86" s="19" t="s">
        <v>267</v>
      </c>
      <c r="I86" s="10"/>
    </row>
    <row r="87" spans="1:9" ht="14.25" customHeight="1" thickBot="1" x14ac:dyDescent="0.2">
      <c r="A87" s="9" t="s">
        <v>148</v>
      </c>
      <c r="B87" s="10"/>
      <c r="C87" s="18">
        <v>0.19850000000000001</v>
      </c>
      <c r="D87" s="18">
        <v>0.19500000000000001</v>
      </c>
      <c r="E87" s="18">
        <v>0.19350000000000001</v>
      </c>
      <c r="F87" s="18">
        <v>0.16289999999999999</v>
      </c>
      <c r="G87" s="18">
        <v>0.161</v>
      </c>
      <c r="H87" s="18">
        <v>0.1915</v>
      </c>
      <c r="I87" s="10"/>
    </row>
    <row r="88" spans="1:9" ht="14.25" customHeight="1" thickBot="1" x14ac:dyDescent="0.2">
      <c r="A88" s="9" t="s">
        <v>149</v>
      </c>
      <c r="B88" s="10"/>
      <c r="C88" s="19" t="s">
        <v>268</v>
      </c>
      <c r="D88" s="19" t="s">
        <v>269</v>
      </c>
      <c r="E88" s="19" t="s">
        <v>270</v>
      </c>
      <c r="F88" s="19" t="s">
        <v>271</v>
      </c>
      <c r="G88" s="19" t="s">
        <v>272</v>
      </c>
      <c r="H88" s="19" t="s">
        <v>273</v>
      </c>
      <c r="I88" s="10"/>
    </row>
    <row r="89" spans="1:9" ht="14.25" customHeight="1" thickBot="1" x14ac:dyDescent="0.2">
      <c r="A89" s="9" t="s">
        <v>150</v>
      </c>
      <c r="B89" s="10"/>
      <c r="C89" s="18">
        <v>0.191</v>
      </c>
      <c r="D89" s="18">
        <v>0.1968</v>
      </c>
      <c r="E89" s="18">
        <v>0.20069999999999999</v>
      </c>
      <c r="F89" s="18">
        <v>0.15260000000000001</v>
      </c>
      <c r="G89" s="18">
        <v>0.16350000000000001</v>
      </c>
      <c r="H89" s="18">
        <v>0.20319999999999999</v>
      </c>
      <c r="I89" s="10"/>
    </row>
    <row r="90" spans="1:9" x14ac:dyDescent="0.15">
      <c r="A90" s="74"/>
      <c r="B90" s="75"/>
      <c r="C90" s="75"/>
      <c r="D90" s="75"/>
      <c r="E90" s="75"/>
      <c r="F90" s="75"/>
      <c r="G90" s="75"/>
      <c r="H90" s="75"/>
      <c r="I90" s="76"/>
    </row>
    <row r="91" spans="1:9" x14ac:dyDescent="0.15">
      <c r="A91" s="74" t="s">
        <v>151</v>
      </c>
      <c r="B91" s="75"/>
      <c r="C91" s="75"/>
      <c r="D91" s="75"/>
      <c r="E91" s="75"/>
      <c r="F91" s="75"/>
      <c r="G91" s="75"/>
      <c r="H91" s="75"/>
      <c r="I91" s="76"/>
    </row>
    <row r="92" spans="1:9" x14ac:dyDescent="0.15">
      <c r="A92" s="9" t="s">
        <v>152</v>
      </c>
      <c r="B92" s="10"/>
      <c r="C92" s="10"/>
      <c r="D92" s="10"/>
      <c r="E92" s="10"/>
      <c r="F92" s="10"/>
      <c r="G92" s="10"/>
      <c r="H92" s="10"/>
      <c r="I92" s="10"/>
    </row>
    <row r="93" spans="1:9" x14ac:dyDescent="0.15">
      <c r="A93" s="9" t="s">
        <v>153</v>
      </c>
      <c r="B93" s="10"/>
      <c r="C93" s="10"/>
      <c r="D93" s="10"/>
      <c r="E93" s="10"/>
      <c r="F93" s="10"/>
      <c r="G93" s="10"/>
      <c r="H93" s="10"/>
      <c r="I93" s="10" t="s">
        <v>154</v>
      </c>
    </row>
    <row r="94" spans="1:9" ht="27" customHeight="1" x14ac:dyDescent="0.15">
      <c r="A94" s="9" t="s">
        <v>155</v>
      </c>
      <c r="B94" s="10"/>
      <c r="C94" s="10"/>
      <c r="D94" s="10"/>
      <c r="E94" s="10"/>
      <c r="F94" s="10"/>
      <c r="G94" s="10"/>
      <c r="H94" s="10"/>
      <c r="I94" s="10" t="s">
        <v>156</v>
      </c>
    </row>
    <row r="95" spans="1:9" x14ac:dyDescent="0.15">
      <c r="A95" s="9" t="s">
        <v>246</v>
      </c>
      <c r="B95" s="10"/>
      <c r="C95" s="10"/>
      <c r="D95" s="10"/>
      <c r="E95" s="10"/>
      <c r="F95" s="10"/>
      <c r="G95" s="10"/>
      <c r="H95" s="10"/>
      <c r="I95" s="10"/>
    </row>
    <row r="96" spans="1:9" x14ac:dyDescent="0.15">
      <c r="A96" s="9" t="s">
        <v>158</v>
      </c>
      <c r="B96" s="10"/>
      <c r="C96" s="10"/>
      <c r="D96" s="10"/>
      <c r="E96" s="12"/>
      <c r="F96" s="11"/>
      <c r="G96" s="10"/>
      <c r="H96" s="10"/>
      <c r="I96" s="10" t="s">
        <v>159</v>
      </c>
    </row>
    <row r="97" spans="1:9" x14ac:dyDescent="0.15">
      <c r="A97" s="74"/>
      <c r="B97" s="75"/>
      <c r="C97" s="75"/>
      <c r="D97" s="75"/>
      <c r="E97" s="75"/>
      <c r="F97" s="75"/>
      <c r="G97" s="75"/>
      <c r="H97" s="75"/>
      <c r="I97" s="76"/>
    </row>
    <row r="98" spans="1:9" x14ac:dyDescent="0.15">
      <c r="A98" s="74" t="s">
        <v>160</v>
      </c>
      <c r="B98" s="75"/>
      <c r="C98" s="75"/>
      <c r="D98" s="75"/>
      <c r="E98" s="75"/>
      <c r="F98" s="75"/>
      <c r="G98" s="75"/>
      <c r="H98" s="75"/>
      <c r="I98" s="76"/>
    </row>
    <row r="99" spans="1:9" x14ac:dyDescent="0.15">
      <c r="A99" s="9" t="s">
        <v>161</v>
      </c>
      <c r="B99" s="10"/>
      <c r="C99" s="10"/>
      <c r="D99" s="10"/>
      <c r="E99" s="10"/>
      <c r="F99" s="10"/>
      <c r="G99" s="10"/>
      <c r="H99" s="10"/>
      <c r="I99" s="10" t="s">
        <v>162</v>
      </c>
    </row>
    <row r="100" spans="1:9" ht="40.5" customHeight="1" x14ac:dyDescent="0.15">
      <c r="A100" s="9" t="s">
        <v>163</v>
      </c>
      <c r="B100" s="10"/>
      <c r="C100" s="10"/>
      <c r="D100" s="10"/>
      <c r="E100" s="10"/>
      <c r="F100" s="10"/>
      <c r="G100" s="10"/>
      <c r="H100" s="10"/>
      <c r="I100" s="10" t="s">
        <v>164</v>
      </c>
    </row>
    <row r="101" spans="1:9" x14ac:dyDescent="0.15">
      <c r="A101" s="9"/>
      <c r="B101" s="10"/>
      <c r="C101" s="10"/>
      <c r="D101" s="10"/>
      <c r="E101" s="10"/>
      <c r="F101" s="10"/>
      <c r="G101" s="10"/>
      <c r="H101" s="10"/>
      <c r="I101" s="10"/>
    </row>
    <row r="102" spans="1:9" x14ac:dyDescent="0.15">
      <c r="A102" s="74"/>
      <c r="B102" s="75"/>
      <c r="C102" s="75"/>
      <c r="D102" s="75"/>
      <c r="E102" s="75"/>
      <c r="F102" s="75"/>
      <c r="G102" s="75"/>
      <c r="H102" s="75"/>
      <c r="I102" s="76"/>
    </row>
    <row r="103" spans="1:9" x14ac:dyDescent="0.15">
      <c r="A103" s="74" t="s">
        <v>165</v>
      </c>
      <c r="B103" s="75"/>
      <c r="C103" s="75"/>
      <c r="D103" s="75"/>
      <c r="E103" s="75"/>
      <c r="F103" s="75"/>
      <c r="G103" s="75"/>
      <c r="H103" s="75"/>
      <c r="I103" s="76"/>
    </row>
    <row r="104" spans="1:9" x14ac:dyDescent="0.15">
      <c r="A104" s="9" t="s">
        <v>166</v>
      </c>
      <c r="B104" s="10"/>
      <c r="C104" s="10"/>
      <c r="D104" s="10"/>
      <c r="E104" s="10"/>
      <c r="F104" s="10"/>
      <c r="G104" s="10"/>
      <c r="H104" s="10"/>
      <c r="I104" s="10"/>
    </row>
    <row r="105" spans="1:9" x14ac:dyDescent="0.15">
      <c r="A105" s="9" t="s">
        <v>167</v>
      </c>
      <c r="B105" s="10"/>
      <c r="C105" s="10"/>
      <c r="D105" s="10"/>
      <c r="E105" s="10"/>
      <c r="F105" s="10"/>
      <c r="G105" s="10"/>
      <c r="H105" s="10"/>
      <c r="I105" s="10"/>
    </row>
    <row r="106" spans="1:9" x14ac:dyDescent="0.15">
      <c r="A106" s="20" t="s">
        <v>168</v>
      </c>
      <c r="B106" s="10"/>
      <c r="C106" s="10"/>
      <c r="D106" s="10"/>
      <c r="E106" s="10"/>
      <c r="F106" s="10"/>
      <c r="G106" s="10"/>
      <c r="H106" s="10"/>
      <c r="I106" s="10"/>
    </row>
    <row r="107" spans="1:9" ht="27" customHeight="1" x14ac:dyDescent="0.15">
      <c r="A107" s="9" t="s">
        <v>169</v>
      </c>
      <c r="B107" s="10"/>
      <c r="C107" s="10"/>
      <c r="D107" s="10"/>
      <c r="E107" s="10"/>
      <c r="F107" s="10"/>
      <c r="G107" s="10"/>
      <c r="H107" s="10"/>
      <c r="I107" s="10"/>
    </row>
    <row r="108" spans="1:9" x14ac:dyDescent="0.15">
      <c r="A108" s="9"/>
      <c r="B108" s="10"/>
      <c r="C108" s="10"/>
      <c r="D108" s="10"/>
      <c r="E108" s="10"/>
      <c r="F108" s="10"/>
      <c r="G108" s="10"/>
      <c r="H108" s="10"/>
      <c r="I108" s="10"/>
    </row>
    <row r="109" spans="1:9" x14ac:dyDescent="0.15">
      <c r="A109" s="48"/>
      <c r="B109" s="24"/>
      <c r="C109" s="24"/>
      <c r="D109" s="24"/>
      <c r="E109" s="24"/>
      <c r="F109" s="24"/>
      <c r="G109" s="24"/>
      <c r="H109" s="24"/>
      <c r="I109" s="24"/>
    </row>
    <row r="110" spans="1:9" x14ac:dyDescent="0.15">
      <c r="A110" s="24"/>
    </row>
    <row r="111" spans="1:9" x14ac:dyDescent="0.15">
      <c r="A111" s="95" t="s">
        <v>170</v>
      </c>
      <c r="B111" s="73"/>
      <c r="C111" s="73"/>
      <c r="D111" s="73"/>
      <c r="E111" s="73"/>
      <c r="F111" s="73"/>
      <c r="G111" s="73"/>
      <c r="H111" s="73"/>
      <c r="I111" s="24"/>
    </row>
    <row r="112" spans="1:9" x14ac:dyDescent="0.15">
      <c r="A112" s="24" t="s">
        <v>171</v>
      </c>
      <c r="B112" s="24"/>
      <c r="C112" s="24"/>
      <c r="D112" s="24"/>
      <c r="E112" s="24"/>
      <c r="F112" s="24"/>
      <c r="G112" s="24"/>
      <c r="H112" s="24"/>
      <c r="I112" s="24"/>
    </row>
    <row r="113" spans="1:9" x14ac:dyDescent="0.15">
      <c r="A113" s="13" t="s">
        <v>172</v>
      </c>
      <c r="B113" s="24"/>
      <c r="C113" s="24"/>
      <c r="D113" s="24"/>
      <c r="E113" s="24"/>
      <c r="F113" s="24"/>
      <c r="G113" s="24"/>
      <c r="H113" s="24"/>
      <c r="I113" s="24"/>
    </row>
    <row r="114" spans="1:9" ht="77.25" customHeight="1" x14ac:dyDescent="0.15">
      <c r="A114" s="92" t="s">
        <v>274</v>
      </c>
      <c r="B114" s="73"/>
      <c r="C114" s="73"/>
      <c r="D114" s="73"/>
      <c r="E114" s="73"/>
      <c r="F114" s="73"/>
      <c r="G114" s="73"/>
      <c r="H114" s="73"/>
      <c r="I114" s="73"/>
    </row>
  </sheetData>
  <mergeCells count="33">
    <mergeCell ref="A47:H47"/>
    <mergeCell ref="A1:H1"/>
    <mergeCell ref="A12:H12"/>
    <mergeCell ref="A16:G16"/>
    <mergeCell ref="A18:H18"/>
    <mergeCell ref="A19:H19"/>
    <mergeCell ref="A20:H20"/>
    <mergeCell ref="A24:H24"/>
    <mergeCell ref="A44:H44"/>
    <mergeCell ref="A45:H45"/>
    <mergeCell ref="A46:H46"/>
    <mergeCell ref="A70:A73"/>
    <mergeCell ref="A49:H49"/>
    <mergeCell ref="A51:H51"/>
    <mergeCell ref="A52:H52"/>
    <mergeCell ref="A53:H53"/>
    <mergeCell ref="A54:H54"/>
    <mergeCell ref="A55:H55"/>
    <mergeCell ref="A56:H56"/>
    <mergeCell ref="A57:H57"/>
    <mergeCell ref="A58:H58"/>
    <mergeCell ref="A61:H61"/>
    <mergeCell ref="A63:I63"/>
    <mergeCell ref="A102:I102"/>
    <mergeCell ref="A103:I103"/>
    <mergeCell ref="A111:H111"/>
    <mergeCell ref="A114:I114"/>
    <mergeCell ref="A81:I81"/>
    <mergeCell ref="A82:I82"/>
    <mergeCell ref="A90:I90"/>
    <mergeCell ref="A91:I91"/>
    <mergeCell ref="A97:I97"/>
    <mergeCell ref="A98:I98"/>
  </mergeCells>
  <phoneticPr fontId="1" type="noConversion"/>
  <dataValidations count="8">
    <dataValidation type="list" showInputMessage="1" showErrorMessage="1" sqref="A51:H51">
      <formula1>"缓慢增长,高速增长,稳定增长,周期类,困难反正类,隐藏资产类"</formula1>
    </dataValidation>
    <dataValidation type="list" showInputMessage="1" showErrorMessage="1" sqref="B4">
      <formula1>"家用电器,食品饮料,纺织服装,医药生物,休闲服务,传媒,汽车, "</formula1>
    </dataValidation>
    <dataValidation type="list" showInputMessage="1" showErrorMessage="1" sqref="B5">
      <formula1>"银行,非银金融,公共事业"</formula1>
    </dataValidation>
    <dataValidation type="list" showInputMessage="1" showErrorMessage="1" sqref="B7">
      <formula1>"采掘,化工,钢铁,有色,房地产,机器设备,建筑装饰,交通运输"</formula1>
    </dataValidation>
    <dataValidation type="list" showInputMessage="1" showErrorMessage="1" sqref="B8">
      <formula1>"电子,计算机,电气设备,通信"</formula1>
    </dataValidation>
    <dataValidation type="list" showInputMessage="1" showErrorMessage="1" sqref="A14">
      <formula1>"2B,2C"</formula1>
    </dataValidation>
    <dataValidation type="list" showInputMessage="1" showErrorMessage="1" sqref="B28:B30 B32:B35">
      <formula1>"是,否"</formula1>
    </dataValidation>
    <dataValidation type="list" showInputMessage="1" showErrorMessage="1" sqref="B36">
      <formula1>"妖怪型,老母鸭型,现金奶牛，其他型排除"</formula1>
    </dataValidation>
  </dataValidations>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39"/>
  <sheetViews>
    <sheetView topLeftCell="A124" workbookViewId="0">
      <selection activeCell="H116" sqref="H116"/>
    </sheetView>
  </sheetViews>
  <sheetFormatPr defaultRowHeight="13.5" x14ac:dyDescent="0.15"/>
  <cols>
    <col min="1" max="1" width="21.875" style="65" customWidth="1"/>
    <col min="2" max="2" width="14.875" style="65" customWidth="1"/>
    <col min="6" max="6" width="11.5" style="65" customWidth="1"/>
    <col min="9" max="9" width="24.375" style="65" customWidth="1"/>
  </cols>
  <sheetData>
    <row r="1" spans="1:8" x14ac:dyDescent="0.15">
      <c r="A1" s="95" t="s">
        <v>64</v>
      </c>
      <c r="B1" s="73"/>
      <c r="C1" s="73"/>
      <c r="D1" s="73"/>
      <c r="E1" s="73"/>
      <c r="F1" s="73"/>
      <c r="G1" s="73"/>
      <c r="H1" s="73"/>
    </row>
    <row r="2" spans="1:8" x14ac:dyDescent="0.15">
      <c r="A2" s="86"/>
      <c r="B2" s="73"/>
      <c r="C2" s="73"/>
      <c r="D2" s="73"/>
      <c r="E2" s="73"/>
      <c r="F2" s="73"/>
      <c r="G2" s="73"/>
      <c r="H2" s="73"/>
    </row>
    <row r="25" spans="1:4" x14ac:dyDescent="0.15">
      <c r="A25" s="24" t="s">
        <v>275</v>
      </c>
      <c r="B25" s="24"/>
      <c r="C25" s="24"/>
      <c r="D25" s="24"/>
    </row>
    <row r="26" spans="1:4" x14ac:dyDescent="0.15">
      <c r="A26" s="24"/>
      <c r="B26" s="24"/>
      <c r="C26" s="24"/>
      <c r="D26" s="24"/>
    </row>
    <row r="27" spans="1:4" x14ac:dyDescent="0.15">
      <c r="A27" s="24" t="s">
        <v>65</v>
      </c>
      <c r="B27" s="24" t="s">
        <v>66</v>
      </c>
      <c r="C27" s="24"/>
      <c r="D27" s="24"/>
    </row>
    <row r="28" spans="1:4" x14ac:dyDescent="0.15">
      <c r="A28" s="3" t="s">
        <v>67</v>
      </c>
      <c r="B28" s="1" t="s">
        <v>276</v>
      </c>
      <c r="C28" s="24"/>
      <c r="D28" s="24"/>
    </row>
    <row r="29" spans="1:4" x14ac:dyDescent="0.15">
      <c r="A29" s="3" t="s">
        <v>68</v>
      </c>
      <c r="B29" s="2"/>
      <c r="C29" s="24"/>
      <c r="D29" s="24"/>
    </row>
    <row r="30" spans="1:4" x14ac:dyDescent="0.15">
      <c r="A30" s="24" t="s">
        <v>69</v>
      </c>
      <c r="B30" s="3"/>
      <c r="C30" s="3"/>
      <c r="D30" s="3"/>
    </row>
    <row r="31" spans="1:4" x14ac:dyDescent="0.15">
      <c r="A31" s="3" t="s">
        <v>70</v>
      </c>
      <c r="B31" s="1"/>
      <c r="C31" s="24"/>
      <c r="D31" s="24"/>
    </row>
    <row r="32" spans="1:4" x14ac:dyDescent="0.15">
      <c r="A32" s="3" t="s">
        <v>71</v>
      </c>
      <c r="B32" s="1"/>
      <c r="C32" s="24"/>
      <c r="D32" s="24"/>
    </row>
    <row r="33" spans="1:8" x14ac:dyDescent="0.15">
      <c r="A33" s="24" t="s">
        <v>72</v>
      </c>
      <c r="B33" s="24"/>
      <c r="C33" s="24"/>
      <c r="D33" s="24"/>
    </row>
    <row r="34" spans="1:8" x14ac:dyDescent="0.15">
      <c r="A34" s="4" t="s">
        <v>181</v>
      </c>
      <c r="B34" s="24"/>
      <c r="C34" s="24"/>
      <c r="D34" s="24"/>
    </row>
    <row r="36" spans="1:8" ht="44.25" customHeight="1" x14ac:dyDescent="0.15">
      <c r="A36" s="72" t="s">
        <v>74</v>
      </c>
      <c r="B36" s="73"/>
      <c r="C36" s="73"/>
      <c r="D36" s="73"/>
      <c r="E36" s="73"/>
      <c r="F36" s="73"/>
      <c r="G36" s="73"/>
      <c r="H36" s="73"/>
    </row>
    <row r="37" spans="1:8" x14ac:dyDescent="0.15">
      <c r="A37" s="14" t="s">
        <v>75</v>
      </c>
      <c r="B37" s="24"/>
      <c r="C37" s="24"/>
      <c r="D37" s="24"/>
      <c r="E37" s="24"/>
      <c r="F37" s="24"/>
      <c r="G37" s="24"/>
      <c r="H37" s="24"/>
    </row>
    <row r="38" spans="1:8" x14ac:dyDescent="0.15">
      <c r="A38" s="5" t="s">
        <v>214</v>
      </c>
      <c r="B38" s="24"/>
      <c r="C38" s="24"/>
      <c r="D38" s="24"/>
      <c r="E38" s="24"/>
      <c r="F38" s="24"/>
      <c r="G38" s="24"/>
      <c r="H38" s="24"/>
    </row>
    <row r="39" spans="1:8" x14ac:dyDescent="0.15">
      <c r="A39" s="24" t="s">
        <v>76</v>
      </c>
      <c r="B39" s="24"/>
      <c r="C39" s="24"/>
      <c r="D39" s="24"/>
      <c r="E39" s="24"/>
      <c r="F39" s="24"/>
      <c r="G39" s="24"/>
      <c r="H39" s="24"/>
    </row>
    <row r="40" spans="1:8" x14ac:dyDescent="0.15">
      <c r="A40" s="94"/>
      <c r="B40" s="73"/>
      <c r="C40" s="73"/>
      <c r="D40" s="73"/>
      <c r="E40" s="73"/>
      <c r="F40" s="73"/>
      <c r="G40" s="73"/>
      <c r="H40" s="24"/>
    </row>
    <row r="41" spans="1:8" x14ac:dyDescent="0.15">
      <c r="A41" s="24" t="s">
        <v>77</v>
      </c>
      <c r="B41" s="24"/>
      <c r="C41" s="24"/>
      <c r="D41" s="24"/>
      <c r="E41" s="24"/>
      <c r="F41" s="24"/>
      <c r="G41" s="24"/>
      <c r="H41" s="24"/>
    </row>
    <row r="42" spans="1:8" x14ac:dyDescent="0.15">
      <c r="A42" s="94" t="s">
        <v>277</v>
      </c>
      <c r="B42" s="73"/>
      <c r="C42" s="73"/>
      <c r="D42" s="73"/>
      <c r="E42" s="73"/>
      <c r="F42" s="73"/>
      <c r="G42" s="73"/>
      <c r="H42" s="73"/>
    </row>
    <row r="43" spans="1:8" ht="44.25" customHeight="1" x14ac:dyDescent="0.15">
      <c r="A43" s="72" t="s">
        <v>78</v>
      </c>
      <c r="B43" s="73"/>
      <c r="C43" s="73"/>
      <c r="D43" s="73"/>
      <c r="E43" s="73"/>
      <c r="F43" s="73"/>
      <c r="G43" s="73"/>
      <c r="H43" s="73"/>
    </row>
    <row r="44" spans="1:8" x14ac:dyDescent="0.15">
      <c r="A44" s="86" t="s">
        <v>278</v>
      </c>
      <c r="B44" s="73"/>
      <c r="C44" s="73"/>
      <c r="D44" s="73"/>
      <c r="E44" s="73"/>
      <c r="F44" s="73"/>
      <c r="G44" s="73"/>
      <c r="H44" s="73"/>
    </row>
    <row r="45" spans="1:8" x14ac:dyDescent="0.15">
      <c r="A45" s="68"/>
      <c r="B45" s="68"/>
      <c r="C45" s="68"/>
      <c r="D45" s="68"/>
      <c r="E45" s="68"/>
      <c r="F45" s="68"/>
      <c r="G45" s="68"/>
      <c r="H45" s="68"/>
    </row>
    <row r="46" spans="1:8" x14ac:dyDescent="0.15">
      <c r="A46" s="68"/>
      <c r="B46" s="68"/>
      <c r="C46" s="68"/>
      <c r="D46" s="68"/>
      <c r="E46" s="68"/>
      <c r="F46" s="68"/>
      <c r="G46" s="68"/>
      <c r="H46" s="68"/>
    </row>
    <row r="48" spans="1:8" x14ac:dyDescent="0.15">
      <c r="A48" s="95" t="s">
        <v>79</v>
      </c>
      <c r="B48" s="73"/>
      <c r="C48" s="73"/>
      <c r="D48" s="73"/>
      <c r="E48" s="73"/>
      <c r="F48" s="73"/>
      <c r="G48" s="73"/>
      <c r="H48" s="73"/>
    </row>
    <row r="49" spans="1:9" x14ac:dyDescent="0.15">
      <c r="A49" s="24" t="s">
        <v>80</v>
      </c>
      <c r="B49" s="24"/>
      <c r="C49" s="24"/>
      <c r="D49" s="24"/>
      <c r="E49" s="24"/>
      <c r="F49" s="24"/>
      <c r="G49" s="24"/>
      <c r="H49" s="24"/>
      <c r="I49" s="24"/>
    </row>
    <row r="50" spans="1:9" x14ac:dyDescent="0.15">
      <c r="A50" s="24"/>
      <c r="B50" s="24"/>
      <c r="C50" s="24"/>
      <c r="D50" s="24"/>
      <c r="E50" s="24"/>
      <c r="F50" s="24"/>
      <c r="G50" s="24"/>
      <c r="H50" s="24"/>
      <c r="I50" s="24"/>
    </row>
    <row r="51" spans="1:9" x14ac:dyDescent="0.15">
      <c r="A51" s="24" t="s">
        <v>81</v>
      </c>
      <c r="B51" s="24" t="s">
        <v>82</v>
      </c>
      <c r="C51" s="24"/>
      <c r="D51" s="24"/>
      <c r="E51" s="24"/>
      <c r="F51" s="24"/>
      <c r="G51" s="24"/>
      <c r="H51" s="24"/>
      <c r="I51" s="24"/>
    </row>
    <row r="52" spans="1:9" x14ac:dyDescent="0.15">
      <c r="A52" s="24" t="s">
        <v>83</v>
      </c>
      <c r="B52" s="16" t="s">
        <v>216</v>
      </c>
      <c r="C52" s="24" t="s">
        <v>84</v>
      </c>
      <c r="D52" s="24"/>
      <c r="E52" s="24"/>
      <c r="F52" s="24"/>
      <c r="G52" s="24"/>
      <c r="H52" s="24"/>
      <c r="I52" s="24"/>
    </row>
    <row r="53" spans="1:9" x14ac:dyDescent="0.15">
      <c r="A53" s="24" t="s">
        <v>85</v>
      </c>
      <c r="B53" s="16" t="s">
        <v>216</v>
      </c>
      <c r="C53" s="24" t="s">
        <v>86</v>
      </c>
      <c r="D53" s="24"/>
      <c r="E53" s="24"/>
      <c r="F53" s="24"/>
      <c r="G53" s="24"/>
      <c r="H53" s="24"/>
      <c r="I53" s="24"/>
    </row>
    <row r="54" spans="1:9" x14ac:dyDescent="0.15">
      <c r="A54" s="24" t="s">
        <v>87</v>
      </c>
      <c r="B54" s="16" t="s">
        <v>216</v>
      </c>
      <c r="C54" s="24" t="s">
        <v>88</v>
      </c>
      <c r="D54" s="24"/>
      <c r="E54" s="24"/>
      <c r="F54" s="24"/>
      <c r="G54" s="24"/>
      <c r="H54" s="24"/>
      <c r="I54" s="24"/>
    </row>
    <row r="55" spans="1:9" x14ac:dyDescent="0.15">
      <c r="A55" s="24"/>
      <c r="B55" s="24"/>
      <c r="C55" s="24"/>
      <c r="D55" s="24"/>
      <c r="E55" s="24"/>
      <c r="F55" s="24"/>
      <c r="G55" s="24"/>
      <c r="H55" s="24"/>
      <c r="I55" s="24"/>
    </row>
    <row r="56" spans="1:9" x14ac:dyDescent="0.15">
      <c r="A56" s="24" t="s">
        <v>89</v>
      </c>
      <c r="B56" s="16" t="s">
        <v>216</v>
      </c>
      <c r="C56" s="24" t="s">
        <v>90</v>
      </c>
      <c r="D56" s="24"/>
      <c r="E56" s="24"/>
      <c r="F56" s="24"/>
      <c r="G56" s="24"/>
      <c r="H56" s="24"/>
      <c r="I56" s="24"/>
    </row>
    <row r="57" spans="1:9" x14ac:dyDescent="0.15">
      <c r="A57" s="24" t="s">
        <v>91</v>
      </c>
      <c r="B57" s="16" t="s">
        <v>216</v>
      </c>
      <c r="C57" s="24" t="s">
        <v>92</v>
      </c>
      <c r="D57" s="24"/>
      <c r="E57" s="24"/>
      <c r="F57" s="24"/>
      <c r="G57" s="24"/>
      <c r="H57" s="24"/>
      <c r="I57" s="24"/>
    </row>
    <row r="58" spans="1:9" ht="17.25" customHeight="1" x14ac:dyDescent="0.15">
      <c r="A58" s="24"/>
      <c r="B58" s="16" t="s">
        <v>216</v>
      </c>
      <c r="C58" s="24" t="s">
        <v>93</v>
      </c>
      <c r="D58" s="24"/>
      <c r="E58" s="24"/>
      <c r="F58" s="24"/>
      <c r="G58" s="24"/>
      <c r="H58" s="24"/>
      <c r="I58" s="24"/>
    </row>
    <row r="59" spans="1:9" ht="17.25" customHeight="1" x14ac:dyDescent="0.15">
      <c r="A59" s="24"/>
      <c r="B59" s="16" t="s">
        <v>216</v>
      </c>
      <c r="C59" s="24" t="s">
        <v>94</v>
      </c>
      <c r="D59" s="24"/>
      <c r="E59" s="24"/>
      <c r="F59" s="24"/>
      <c r="G59" s="24"/>
      <c r="H59" s="24"/>
      <c r="I59" s="24"/>
    </row>
    <row r="60" spans="1:9" x14ac:dyDescent="0.15">
      <c r="A60" s="24" t="s">
        <v>95</v>
      </c>
      <c r="B60" s="16" t="s">
        <v>279</v>
      </c>
      <c r="C60" s="24" t="s">
        <v>96</v>
      </c>
      <c r="D60" s="24"/>
      <c r="E60" s="24"/>
      <c r="F60" s="24"/>
      <c r="G60" s="24"/>
      <c r="H60" s="24"/>
      <c r="I60" s="24"/>
    </row>
    <row r="61" spans="1:9" x14ac:dyDescent="0.15">
      <c r="A61" s="24"/>
      <c r="B61" s="24"/>
      <c r="C61" s="24" t="s">
        <v>97</v>
      </c>
      <c r="D61" s="24"/>
      <c r="E61" s="24"/>
      <c r="F61" s="24"/>
      <c r="G61" s="24"/>
      <c r="H61" s="24"/>
      <c r="I61" s="24"/>
    </row>
    <row r="62" spans="1:9" x14ac:dyDescent="0.15">
      <c r="A62" s="24"/>
      <c r="B62" s="24"/>
      <c r="C62" s="24" t="s">
        <v>98</v>
      </c>
      <c r="D62" s="24"/>
      <c r="E62" s="24"/>
      <c r="F62" s="24"/>
      <c r="G62" s="24"/>
      <c r="H62" s="24"/>
      <c r="I62" s="24"/>
    </row>
    <row r="63" spans="1:9" x14ac:dyDescent="0.15">
      <c r="A63" s="24"/>
      <c r="B63" s="24"/>
      <c r="C63" s="24" t="s">
        <v>99</v>
      </c>
      <c r="D63" s="24"/>
      <c r="E63" s="24"/>
      <c r="F63" s="24"/>
      <c r="G63" s="24"/>
      <c r="H63" s="24"/>
      <c r="I63" s="24"/>
    </row>
    <row r="64" spans="1:9" x14ac:dyDescent="0.15">
      <c r="A64" s="24"/>
      <c r="B64" s="24"/>
      <c r="C64" s="24" t="s">
        <v>100</v>
      </c>
      <c r="D64" s="24"/>
      <c r="E64" s="24"/>
      <c r="F64" s="24"/>
      <c r="G64" s="24"/>
      <c r="H64" s="24"/>
      <c r="I64" s="24"/>
    </row>
    <row r="65" spans="1:9" x14ac:dyDescent="0.15">
      <c r="A65" s="24"/>
      <c r="B65" s="24"/>
      <c r="C65" s="24" t="s">
        <v>101</v>
      </c>
      <c r="D65" s="24"/>
      <c r="E65" s="24"/>
      <c r="F65" s="24"/>
      <c r="G65" s="24"/>
      <c r="H65" s="24"/>
      <c r="I65" s="24"/>
    </row>
    <row r="66" spans="1:9" x14ac:dyDescent="0.15">
      <c r="A66" s="70"/>
      <c r="B66" s="70"/>
      <c r="C66" s="70"/>
      <c r="D66" s="70"/>
      <c r="E66" s="70"/>
      <c r="F66" s="70"/>
      <c r="G66" s="70"/>
      <c r="H66" s="70"/>
    </row>
    <row r="67" spans="1:9" x14ac:dyDescent="0.15">
      <c r="A67" s="24" t="s">
        <v>102</v>
      </c>
      <c r="B67" s="24"/>
      <c r="C67" s="24"/>
      <c r="D67" s="24"/>
      <c r="E67" s="24"/>
      <c r="F67" s="24"/>
      <c r="G67" s="24"/>
      <c r="H67" s="24"/>
    </row>
    <row r="68" spans="1:9" x14ac:dyDescent="0.15">
      <c r="A68" s="72" t="s">
        <v>103</v>
      </c>
      <c r="B68" s="73"/>
      <c r="C68" s="73"/>
      <c r="D68" s="73"/>
      <c r="E68" s="73"/>
      <c r="F68" s="73"/>
      <c r="G68" s="73"/>
      <c r="H68" s="73"/>
    </row>
    <row r="69" spans="1:9" x14ac:dyDescent="0.15">
      <c r="A69" s="86" t="s">
        <v>280</v>
      </c>
      <c r="B69" s="73"/>
      <c r="C69" s="73"/>
      <c r="D69" s="73"/>
      <c r="E69" s="73"/>
      <c r="F69" s="73"/>
      <c r="G69" s="73"/>
      <c r="H69" s="73"/>
    </row>
    <row r="70" spans="1:9" x14ac:dyDescent="0.15">
      <c r="A70" s="96" t="s">
        <v>104</v>
      </c>
      <c r="B70" s="73"/>
      <c r="C70" s="73"/>
      <c r="D70" s="73"/>
      <c r="E70" s="73"/>
      <c r="F70" s="73"/>
      <c r="G70" s="73"/>
      <c r="H70" s="73"/>
    </row>
    <row r="71" spans="1:9" x14ac:dyDescent="0.15">
      <c r="A71" s="94" t="s">
        <v>281</v>
      </c>
      <c r="B71" s="73"/>
      <c r="C71" s="73"/>
      <c r="D71" s="73"/>
      <c r="E71" s="73"/>
      <c r="F71" s="73"/>
      <c r="G71" s="73"/>
      <c r="H71" s="73"/>
    </row>
    <row r="72" spans="1:9" x14ac:dyDescent="0.15">
      <c r="A72" s="24"/>
      <c r="B72" s="24"/>
      <c r="C72" s="24"/>
      <c r="D72" s="24"/>
      <c r="E72" s="24"/>
      <c r="F72" s="24"/>
      <c r="G72" s="24"/>
      <c r="H72" s="24"/>
    </row>
    <row r="73" spans="1:9" x14ac:dyDescent="0.15">
      <c r="A73" s="96" t="s">
        <v>105</v>
      </c>
      <c r="B73" s="73"/>
      <c r="C73" s="73"/>
      <c r="D73" s="73"/>
      <c r="E73" s="73"/>
      <c r="F73" s="73"/>
      <c r="G73" s="73"/>
      <c r="H73" s="73"/>
    </row>
    <row r="74" spans="1:9" x14ac:dyDescent="0.15">
      <c r="A74" s="24" t="s">
        <v>106</v>
      </c>
      <c r="B74" s="24"/>
      <c r="C74" s="24"/>
      <c r="D74" s="24"/>
      <c r="E74" s="24"/>
      <c r="F74" s="24"/>
      <c r="G74" s="24"/>
      <c r="H74" s="24"/>
    </row>
    <row r="75" spans="1:9" x14ac:dyDescent="0.15">
      <c r="A75" s="93" t="s">
        <v>219</v>
      </c>
      <c r="B75" s="75"/>
      <c r="C75" s="75"/>
      <c r="D75" s="75"/>
      <c r="E75" s="75"/>
      <c r="F75" s="75"/>
      <c r="G75" s="75"/>
      <c r="H75" s="76"/>
    </row>
    <row r="76" spans="1:9" x14ac:dyDescent="0.15">
      <c r="A76" s="96" t="s">
        <v>107</v>
      </c>
      <c r="B76" s="73"/>
      <c r="C76" s="73"/>
      <c r="D76" s="73"/>
      <c r="E76" s="73"/>
      <c r="F76" s="73"/>
      <c r="G76" s="73"/>
      <c r="H76" s="73"/>
    </row>
    <row r="77" spans="1:9" x14ac:dyDescent="0.15">
      <c r="A77" s="96" t="s">
        <v>108</v>
      </c>
      <c r="B77" s="73"/>
      <c r="C77" s="73"/>
      <c r="D77" s="73"/>
      <c r="E77" s="73"/>
      <c r="F77" s="73"/>
      <c r="G77" s="73"/>
      <c r="H77" s="73"/>
    </row>
    <row r="78" spans="1:9" x14ac:dyDescent="0.15">
      <c r="A78" s="96" t="s">
        <v>109</v>
      </c>
      <c r="B78" s="73"/>
      <c r="C78" s="73"/>
      <c r="D78" s="73"/>
      <c r="E78" s="73"/>
      <c r="F78" s="73"/>
      <c r="G78" s="73"/>
      <c r="H78" s="73"/>
    </row>
    <row r="79" spans="1:9" x14ac:dyDescent="0.15">
      <c r="A79" s="96" t="s">
        <v>110</v>
      </c>
      <c r="B79" s="73"/>
      <c r="C79" s="73"/>
      <c r="D79" s="73"/>
      <c r="E79" s="73"/>
      <c r="F79" s="73"/>
      <c r="G79" s="73"/>
      <c r="H79" s="73"/>
    </row>
    <row r="80" spans="1:9" x14ac:dyDescent="0.15">
      <c r="A80" s="72" t="s">
        <v>111</v>
      </c>
      <c r="B80" s="73"/>
      <c r="C80" s="73"/>
      <c r="D80" s="73"/>
      <c r="E80" s="73"/>
      <c r="F80" s="73"/>
      <c r="G80" s="73"/>
      <c r="H80" s="73"/>
    </row>
    <row r="81" spans="1:9" x14ac:dyDescent="0.15">
      <c r="A81" s="72" t="s">
        <v>112</v>
      </c>
      <c r="B81" s="73"/>
      <c r="C81" s="73"/>
      <c r="D81" s="73"/>
      <c r="E81" s="73"/>
      <c r="F81" s="73"/>
      <c r="G81" s="73"/>
      <c r="H81" s="73"/>
    </row>
    <row r="82" spans="1:9" x14ac:dyDescent="0.15">
      <c r="A82" s="97" t="s">
        <v>113</v>
      </c>
      <c r="B82" s="73"/>
      <c r="C82" s="73"/>
      <c r="D82" s="73"/>
      <c r="E82" s="73"/>
      <c r="F82" s="73"/>
      <c r="G82" s="73"/>
      <c r="H82" s="73"/>
    </row>
    <row r="83" spans="1:9" x14ac:dyDescent="0.15">
      <c r="A83" s="24"/>
      <c r="B83" s="24"/>
      <c r="C83" s="24"/>
      <c r="D83" s="24"/>
      <c r="E83" s="24"/>
      <c r="F83" s="24"/>
      <c r="G83" s="24"/>
      <c r="H83" s="24"/>
    </row>
    <row r="84" spans="1:9" x14ac:dyDescent="0.15">
      <c r="A84" s="24" t="s">
        <v>114</v>
      </c>
      <c r="B84" s="24"/>
      <c r="C84" s="24"/>
      <c r="D84" s="24"/>
      <c r="E84" s="24"/>
      <c r="F84" s="24"/>
      <c r="G84" s="24"/>
      <c r="H84" s="24"/>
    </row>
    <row r="85" spans="1:9" x14ac:dyDescent="0.15">
      <c r="A85" s="72" t="s">
        <v>115</v>
      </c>
      <c r="B85" s="73"/>
      <c r="C85" s="73"/>
      <c r="D85" s="73"/>
      <c r="E85" s="73"/>
      <c r="F85" s="73"/>
      <c r="G85" s="73"/>
      <c r="H85" s="73"/>
    </row>
    <row r="86" spans="1:9" ht="14.25" customHeight="1" x14ac:dyDescent="0.15">
      <c r="A86" s="6" t="s">
        <v>116</v>
      </c>
      <c r="B86" s="7"/>
      <c r="C86" s="7" t="s">
        <v>117</v>
      </c>
      <c r="D86" s="7" t="s">
        <v>118</v>
      </c>
      <c r="E86" s="7" t="s">
        <v>119</v>
      </c>
      <c r="F86" s="7" t="s">
        <v>120</v>
      </c>
      <c r="G86" s="7" t="s">
        <v>121</v>
      </c>
      <c r="H86" s="8" t="s">
        <v>122</v>
      </c>
      <c r="I86" s="8" t="s">
        <v>123</v>
      </c>
    </row>
    <row r="87" spans="1:9" ht="14.25" customHeight="1" x14ac:dyDescent="0.15">
      <c r="A87" s="98" t="s">
        <v>124</v>
      </c>
      <c r="B87" s="75"/>
      <c r="C87" s="75"/>
      <c r="D87" s="75"/>
      <c r="E87" s="75"/>
      <c r="F87" s="75"/>
      <c r="G87" s="75"/>
      <c r="H87" s="75"/>
      <c r="I87" s="76"/>
    </row>
    <row r="88" spans="1:9" ht="27.75" customHeight="1" thickBot="1" x14ac:dyDescent="0.2">
      <c r="A88" s="9" t="s">
        <v>125</v>
      </c>
      <c r="B88" s="10"/>
      <c r="C88" s="10"/>
      <c r="D88" s="10">
        <v>34.6</v>
      </c>
      <c r="E88" s="10">
        <v>47</v>
      </c>
      <c r="F88" s="10">
        <v>30.49</v>
      </c>
      <c r="G88" s="10"/>
      <c r="H88" s="10"/>
      <c r="I88" s="10" t="s">
        <v>126</v>
      </c>
    </row>
    <row r="89" spans="1:9" ht="54" customHeight="1" thickBot="1" x14ac:dyDescent="0.2">
      <c r="A89" s="9" t="s">
        <v>127</v>
      </c>
      <c r="B89" s="10"/>
      <c r="C89" s="10"/>
      <c r="D89" s="17">
        <v>0.67649999999999999</v>
      </c>
      <c r="E89" s="17">
        <v>0.70730000000000004</v>
      </c>
      <c r="F89" s="17">
        <v>0.73199999999999998</v>
      </c>
      <c r="G89" s="17">
        <v>1.34E-2</v>
      </c>
      <c r="H89" s="17">
        <v>-0.22459999999999999</v>
      </c>
      <c r="I89" s="10"/>
    </row>
    <row r="90" spans="1:9" ht="27.75" customHeight="1" thickBot="1" x14ac:dyDescent="0.2">
      <c r="A90" s="9" t="s">
        <v>220</v>
      </c>
      <c r="B90" s="10"/>
      <c r="C90" s="10"/>
      <c r="D90" s="17">
        <v>0.72719999999999996</v>
      </c>
      <c r="E90" s="17">
        <v>0.70440000000000003</v>
      </c>
      <c r="F90" s="17">
        <v>0.7056</v>
      </c>
      <c r="G90" s="17">
        <v>0.1023</v>
      </c>
      <c r="H90" s="17">
        <v>1.52E-2</v>
      </c>
      <c r="I90" s="10"/>
    </row>
    <row r="91" spans="1:9" ht="14.25" customHeight="1" thickBot="1" x14ac:dyDescent="0.2">
      <c r="A91" s="9" t="s">
        <v>221</v>
      </c>
      <c r="B91" s="10"/>
      <c r="C91" s="10"/>
      <c r="D91" s="18">
        <v>0.49719999999999998</v>
      </c>
      <c r="E91" s="18">
        <v>0.4355</v>
      </c>
      <c r="F91" s="18">
        <v>0.39240000000000003</v>
      </c>
      <c r="G91" s="18">
        <v>1.66E-2</v>
      </c>
      <c r="H91" s="18">
        <v>-8.8599999999999998E-2</v>
      </c>
      <c r="I91" s="10"/>
    </row>
    <row r="92" spans="1:9" ht="27" customHeight="1" x14ac:dyDescent="0.15">
      <c r="A92" s="9" t="s">
        <v>130</v>
      </c>
      <c r="B92" s="10"/>
      <c r="C92" s="10"/>
      <c r="D92" s="10"/>
      <c r="E92" s="10"/>
      <c r="F92" s="10"/>
      <c r="G92" s="10"/>
      <c r="H92" s="10"/>
      <c r="I92" s="10" t="s">
        <v>222</v>
      </c>
    </row>
    <row r="93" spans="1:9" ht="27" customHeight="1" x14ac:dyDescent="0.15">
      <c r="A93" s="9" t="s">
        <v>131</v>
      </c>
      <c r="B93" s="10"/>
      <c r="C93" s="10"/>
      <c r="D93" s="10">
        <v>0.87</v>
      </c>
      <c r="E93" s="10">
        <v>0.83</v>
      </c>
      <c r="F93" s="10">
        <v>1.32</v>
      </c>
      <c r="G93" s="10"/>
      <c r="H93" s="10"/>
      <c r="I93" s="10"/>
    </row>
    <row r="94" spans="1:9" x14ac:dyDescent="0.15">
      <c r="A94" s="74" t="s">
        <v>132</v>
      </c>
      <c r="B94" s="10" t="s">
        <v>133</v>
      </c>
      <c r="C94" s="21">
        <v>0.2228</v>
      </c>
      <c r="D94" s="21">
        <v>0.14990000000000001</v>
      </c>
      <c r="E94" s="10"/>
      <c r="F94" s="10"/>
      <c r="G94" s="10"/>
      <c r="H94" s="10"/>
      <c r="I94" s="10"/>
    </row>
    <row r="95" spans="1:9" x14ac:dyDescent="0.15">
      <c r="A95" s="90"/>
      <c r="B95" s="10" t="s">
        <v>134</v>
      </c>
      <c r="C95" s="21">
        <v>0.26050000000000001</v>
      </c>
      <c r="D95" s="21">
        <v>0.1449</v>
      </c>
      <c r="E95" s="10"/>
      <c r="F95" s="10"/>
      <c r="G95" s="10"/>
      <c r="H95" s="10"/>
      <c r="I95" s="10"/>
    </row>
    <row r="96" spans="1:9" x14ac:dyDescent="0.15">
      <c r="A96" s="90"/>
      <c r="B96" s="10" t="s">
        <v>135</v>
      </c>
      <c r="C96" s="21">
        <v>0.24590000000000001</v>
      </c>
      <c r="D96" s="21">
        <v>0.15740000000000001</v>
      </c>
      <c r="E96" s="10"/>
      <c r="F96" s="10"/>
      <c r="G96" s="10"/>
      <c r="H96" s="10"/>
      <c r="I96" s="10"/>
    </row>
    <row r="97" spans="1:9" x14ac:dyDescent="0.15">
      <c r="A97" s="91"/>
      <c r="B97" s="10" t="s">
        <v>136</v>
      </c>
      <c r="C97" s="10"/>
      <c r="D97" s="21">
        <v>0.17630000000000001</v>
      </c>
      <c r="E97" s="21">
        <v>0.18379999999999999</v>
      </c>
      <c r="F97" s="10"/>
      <c r="G97" s="10"/>
      <c r="H97" s="10"/>
      <c r="I97" s="10"/>
    </row>
    <row r="98" spans="1:9" x14ac:dyDescent="0.15">
      <c r="A98" s="62" t="s">
        <v>137</v>
      </c>
      <c r="B98" s="10"/>
      <c r="C98" s="10"/>
      <c r="D98" s="21"/>
      <c r="E98" s="21"/>
      <c r="F98" s="10"/>
      <c r="G98" s="10"/>
      <c r="H98" s="10"/>
      <c r="I98" s="10"/>
    </row>
    <row r="99" spans="1:9" ht="27" customHeight="1" x14ac:dyDescent="0.15">
      <c r="A99" s="9" t="s">
        <v>138</v>
      </c>
      <c r="B99" s="10" t="s">
        <v>282</v>
      </c>
      <c r="C99" s="10">
        <v>1.0999999999999999E-2</v>
      </c>
      <c r="D99" s="10"/>
      <c r="E99" s="10"/>
      <c r="F99" s="10"/>
      <c r="G99" s="10"/>
      <c r="H99" s="10"/>
      <c r="I99" s="10"/>
    </row>
    <row r="100" spans="1:9" ht="27" customHeight="1" x14ac:dyDescent="0.15">
      <c r="A100" s="9" t="s">
        <v>139</v>
      </c>
      <c r="B100" s="10" t="s">
        <v>283</v>
      </c>
      <c r="C100" s="10">
        <v>0.02</v>
      </c>
      <c r="D100" s="10"/>
      <c r="E100" s="10"/>
      <c r="F100" s="10"/>
      <c r="G100" s="10"/>
      <c r="H100" s="10"/>
      <c r="I100" s="10"/>
    </row>
    <row r="101" spans="1:9" x14ac:dyDescent="0.15">
      <c r="A101" s="9" t="s">
        <v>140</v>
      </c>
      <c r="B101" s="10" t="s">
        <v>284</v>
      </c>
      <c r="C101" s="10"/>
      <c r="D101" s="10" t="s">
        <v>285</v>
      </c>
      <c r="E101" s="10" t="s">
        <v>286</v>
      </c>
      <c r="F101" s="10" t="s">
        <v>287</v>
      </c>
      <c r="G101" s="10"/>
      <c r="H101" s="10"/>
      <c r="I101" s="10"/>
    </row>
    <row r="102" spans="1:9" ht="27" customHeight="1" x14ac:dyDescent="0.15">
      <c r="A102" s="9" t="s">
        <v>141</v>
      </c>
      <c r="B102" s="10"/>
      <c r="C102" s="10"/>
      <c r="D102" s="12">
        <v>0.37</v>
      </c>
      <c r="E102" s="11">
        <v>0.1767</v>
      </c>
      <c r="F102" s="10"/>
      <c r="G102" s="10"/>
      <c r="H102" s="10"/>
      <c r="I102" s="10"/>
    </row>
    <row r="103" spans="1:9" ht="54" customHeight="1" x14ac:dyDescent="0.15">
      <c r="A103" s="9" t="s">
        <v>142</v>
      </c>
      <c r="B103" s="10"/>
      <c r="C103" s="10"/>
      <c r="D103" s="10"/>
      <c r="E103" s="10"/>
      <c r="F103" s="10"/>
      <c r="G103" s="10"/>
      <c r="H103" s="10"/>
      <c r="I103" s="10"/>
    </row>
    <row r="104" spans="1:9" x14ac:dyDescent="0.15">
      <c r="A104" s="9"/>
      <c r="B104" s="10"/>
      <c r="C104" s="10"/>
      <c r="D104" s="10"/>
      <c r="E104" s="10"/>
      <c r="F104" s="10"/>
      <c r="G104" s="10"/>
      <c r="H104" s="10"/>
      <c r="I104" s="10"/>
    </row>
    <row r="105" spans="1:9" x14ac:dyDescent="0.15">
      <c r="A105" s="74"/>
      <c r="B105" s="75"/>
      <c r="C105" s="75"/>
      <c r="D105" s="75"/>
      <c r="E105" s="75"/>
      <c r="F105" s="75"/>
      <c r="G105" s="75"/>
      <c r="H105" s="75"/>
      <c r="I105" s="76"/>
    </row>
    <row r="106" spans="1:9" ht="14.25" customHeight="1" thickBot="1" x14ac:dyDescent="0.2">
      <c r="A106" s="74" t="s">
        <v>143</v>
      </c>
      <c r="B106" s="75"/>
      <c r="C106" s="75"/>
      <c r="D106" s="75"/>
      <c r="E106" s="75"/>
      <c r="F106" s="75"/>
      <c r="G106" s="75"/>
      <c r="H106" s="75"/>
      <c r="I106" s="76"/>
    </row>
    <row r="107" spans="1:9" ht="14.25" customHeight="1" thickBot="1" x14ac:dyDescent="0.2">
      <c r="A107" s="9" t="s">
        <v>144</v>
      </c>
      <c r="B107" s="10"/>
      <c r="C107" s="10"/>
      <c r="D107" s="19" t="s">
        <v>288</v>
      </c>
      <c r="E107" s="19" t="s">
        <v>289</v>
      </c>
      <c r="F107" s="19" t="s">
        <v>290</v>
      </c>
      <c r="G107" s="19" t="s">
        <v>291</v>
      </c>
      <c r="H107" s="19" t="s">
        <v>292</v>
      </c>
      <c r="I107" s="10"/>
    </row>
    <row r="108" spans="1:9" ht="14.25" customHeight="1" thickBot="1" x14ac:dyDescent="0.2">
      <c r="A108" s="9" t="s">
        <v>145</v>
      </c>
      <c r="B108" s="10"/>
      <c r="C108" s="10"/>
      <c r="D108" s="19" t="s">
        <v>293</v>
      </c>
      <c r="E108" s="19" t="s">
        <v>294</v>
      </c>
      <c r="F108" s="19" t="s">
        <v>295</v>
      </c>
      <c r="G108" s="19" t="s">
        <v>296</v>
      </c>
      <c r="H108" s="19" t="s">
        <v>297</v>
      </c>
      <c r="I108" s="10"/>
    </row>
    <row r="109" spans="1:9" ht="14.25" customHeight="1" thickBot="1" x14ac:dyDescent="0.2">
      <c r="A109" s="9" t="s">
        <v>146</v>
      </c>
      <c r="B109" s="10"/>
      <c r="C109" s="10"/>
      <c r="D109" s="18">
        <v>0.17630000000000001</v>
      </c>
      <c r="E109" s="18">
        <v>0.18379999999999999</v>
      </c>
      <c r="F109" s="18">
        <v>0.1507</v>
      </c>
      <c r="G109" s="18">
        <v>-0.72019999999999995</v>
      </c>
      <c r="H109" s="18">
        <v>6.0199999999999997E-2</v>
      </c>
      <c r="I109" s="10"/>
    </row>
    <row r="110" spans="1:9" ht="14.25" customHeight="1" thickBot="1" x14ac:dyDescent="0.2">
      <c r="A110" s="9" t="s">
        <v>147</v>
      </c>
      <c r="B110" s="10"/>
      <c r="C110" s="10"/>
      <c r="D110" s="19" t="s">
        <v>298</v>
      </c>
      <c r="E110" s="19" t="s">
        <v>299</v>
      </c>
      <c r="F110" s="19" t="s">
        <v>300</v>
      </c>
      <c r="G110" s="19" t="s">
        <v>301</v>
      </c>
      <c r="H110" s="19" t="s">
        <v>302</v>
      </c>
      <c r="I110" s="10"/>
    </row>
    <row r="111" spans="1:9" ht="14.25" customHeight="1" thickBot="1" x14ac:dyDescent="0.2">
      <c r="A111" s="9" t="s">
        <v>148</v>
      </c>
      <c r="B111" s="10"/>
      <c r="C111" s="10"/>
      <c r="D111" s="18">
        <v>0.34899999999999998</v>
      </c>
      <c r="E111" s="18">
        <v>0.31340000000000001</v>
      </c>
      <c r="F111" s="18">
        <v>0.40350000000000003</v>
      </c>
      <c r="G111" s="18">
        <v>20.525700000000001</v>
      </c>
      <c r="H111" s="18">
        <v>-16.088799999999999</v>
      </c>
      <c r="I111" s="10"/>
    </row>
    <row r="112" spans="1:9" ht="14.25" customHeight="1" thickBot="1" x14ac:dyDescent="0.2">
      <c r="A112" s="9" t="s">
        <v>149</v>
      </c>
      <c r="B112" s="10"/>
      <c r="C112" s="10"/>
      <c r="D112" s="19" t="s">
        <v>273</v>
      </c>
      <c r="E112" s="19" t="s">
        <v>303</v>
      </c>
      <c r="F112" s="19" t="s">
        <v>304</v>
      </c>
      <c r="G112" s="19" t="s">
        <v>305</v>
      </c>
      <c r="H112" s="19" t="s">
        <v>306</v>
      </c>
      <c r="I112" s="10"/>
    </row>
    <row r="113" spans="1:9" ht="14.25" customHeight="1" thickBot="1" x14ac:dyDescent="0.2">
      <c r="A113" s="9" t="s">
        <v>150</v>
      </c>
      <c r="B113" s="10"/>
      <c r="C113" s="10"/>
      <c r="D113" s="18">
        <v>0.33600000000000002</v>
      </c>
      <c r="E113" s="18">
        <v>0.1832</v>
      </c>
      <c r="F113" s="18">
        <v>2882.2882</v>
      </c>
      <c r="G113" s="18">
        <v>0.99219999999999997</v>
      </c>
      <c r="H113" s="18">
        <v>-44.603900000000003</v>
      </c>
      <c r="I113" s="10"/>
    </row>
    <row r="114" spans="1:9" x14ac:dyDescent="0.15">
      <c r="A114" s="74"/>
      <c r="B114" s="75"/>
      <c r="C114" s="75"/>
      <c r="D114" s="75"/>
      <c r="E114" s="75"/>
      <c r="F114" s="75"/>
      <c r="G114" s="75"/>
      <c r="H114" s="75"/>
      <c r="I114" s="76"/>
    </row>
    <row r="115" spans="1:9" ht="14.25" customHeight="1" thickBot="1" x14ac:dyDescent="0.2">
      <c r="A115" s="74" t="s">
        <v>151</v>
      </c>
      <c r="B115" s="75"/>
      <c r="C115" s="75"/>
      <c r="D115" s="75"/>
      <c r="E115" s="75"/>
      <c r="F115" s="75"/>
      <c r="G115" s="75"/>
      <c r="H115" s="75"/>
      <c r="I115" s="76"/>
    </row>
    <row r="116" spans="1:9" ht="14.25" customHeight="1" thickBot="1" x14ac:dyDescent="0.2">
      <c r="A116" s="9" t="s">
        <v>152</v>
      </c>
      <c r="B116" s="10"/>
      <c r="C116" s="10"/>
      <c r="D116" s="19" t="s">
        <v>307</v>
      </c>
      <c r="E116" s="19" t="s">
        <v>308</v>
      </c>
      <c r="F116" s="19" t="s">
        <v>309</v>
      </c>
      <c r="G116" s="19" t="s">
        <v>310</v>
      </c>
      <c r="H116" s="19" t="s">
        <v>311</v>
      </c>
      <c r="I116" s="10"/>
    </row>
    <row r="117" spans="1:9" ht="14.25" customHeight="1" thickBot="1" x14ac:dyDescent="0.2">
      <c r="A117" s="9" t="s">
        <v>153</v>
      </c>
      <c r="B117" s="10"/>
      <c r="C117" s="10"/>
      <c r="D117" s="11">
        <v>0.32119999999999999</v>
      </c>
      <c r="E117" s="11">
        <v>0.32769999999999999</v>
      </c>
      <c r="F117" s="11">
        <v>0.62109999999999999</v>
      </c>
      <c r="G117" s="11">
        <v>0.35659999999999997</v>
      </c>
      <c r="H117" s="11">
        <v>0.28499999999999998</v>
      </c>
      <c r="I117" s="10" t="s">
        <v>154</v>
      </c>
    </row>
    <row r="118" spans="1:9" ht="27.75" customHeight="1" thickBot="1" x14ac:dyDescent="0.2">
      <c r="A118" s="9" t="s">
        <v>155</v>
      </c>
      <c r="B118" s="10"/>
      <c r="C118" s="10"/>
      <c r="D118" s="22">
        <v>2.85</v>
      </c>
      <c r="E118" s="22">
        <v>2.5299999999999998</v>
      </c>
      <c r="F118" s="22">
        <v>1.44</v>
      </c>
      <c r="G118" s="22">
        <v>1.36</v>
      </c>
      <c r="H118" s="22">
        <v>1.25</v>
      </c>
      <c r="I118" s="10" t="s">
        <v>156</v>
      </c>
    </row>
    <row r="119" spans="1:9" ht="14.25" customHeight="1" thickBot="1" x14ac:dyDescent="0.2">
      <c r="A119" s="9" t="s">
        <v>246</v>
      </c>
      <c r="B119" s="10"/>
      <c r="C119" s="10"/>
      <c r="D119" s="19">
        <v>1.91</v>
      </c>
      <c r="E119" s="19">
        <v>1.82</v>
      </c>
      <c r="F119" s="19">
        <v>1.36</v>
      </c>
      <c r="G119" s="19">
        <v>1.1599999999999999</v>
      </c>
      <c r="H119" s="19">
        <v>1.1000000000000001</v>
      </c>
      <c r="I119" s="10"/>
    </row>
    <row r="120" spans="1:9" x14ac:dyDescent="0.15">
      <c r="A120" s="9" t="s">
        <v>158</v>
      </c>
      <c r="B120" s="10"/>
      <c r="C120" s="10"/>
      <c r="D120" s="10"/>
      <c r="E120" s="12">
        <v>0.17</v>
      </c>
      <c r="F120" s="11">
        <v>0.16400000000000001</v>
      </c>
      <c r="G120" s="10"/>
      <c r="H120" s="10"/>
      <c r="I120" s="10" t="s">
        <v>159</v>
      </c>
    </row>
    <row r="121" spans="1:9" x14ac:dyDescent="0.15">
      <c r="A121" s="74"/>
      <c r="B121" s="75"/>
      <c r="C121" s="75"/>
      <c r="D121" s="75"/>
      <c r="E121" s="75"/>
      <c r="F121" s="75"/>
      <c r="G121" s="75"/>
      <c r="H121" s="75"/>
      <c r="I121" s="76"/>
    </row>
    <row r="122" spans="1:9" x14ac:dyDescent="0.15">
      <c r="A122" s="74" t="s">
        <v>160</v>
      </c>
      <c r="B122" s="75"/>
      <c r="C122" s="75"/>
      <c r="D122" s="75"/>
      <c r="E122" s="75"/>
      <c r="F122" s="75"/>
      <c r="G122" s="75"/>
      <c r="H122" s="75"/>
      <c r="I122" s="76"/>
    </row>
    <row r="123" spans="1:9" ht="14.25" customHeight="1" thickBot="1" x14ac:dyDescent="0.2">
      <c r="A123" s="9" t="s">
        <v>161</v>
      </c>
      <c r="B123" s="10"/>
      <c r="C123" s="10"/>
      <c r="D123" s="10">
        <v>4.7300000000000004</v>
      </c>
      <c r="E123" s="10"/>
      <c r="F123" s="10"/>
      <c r="G123" s="10"/>
      <c r="H123" s="10"/>
      <c r="I123" s="10" t="s">
        <v>162</v>
      </c>
    </row>
    <row r="124" spans="1:9" ht="40.5" customHeight="1" thickBot="1" x14ac:dyDescent="0.2">
      <c r="A124" s="9" t="s">
        <v>163</v>
      </c>
      <c r="B124" s="10"/>
      <c r="C124" s="10"/>
      <c r="D124" s="19">
        <v>77.040000000000006</v>
      </c>
      <c r="E124" s="19">
        <v>76.55</v>
      </c>
      <c r="F124" s="19">
        <v>46.16</v>
      </c>
      <c r="G124" s="19">
        <v>23.15</v>
      </c>
      <c r="H124" s="19">
        <v>20.399999999999999</v>
      </c>
      <c r="I124" s="10" t="s">
        <v>164</v>
      </c>
    </row>
    <row r="125" spans="1:9" x14ac:dyDescent="0.15">
      <c r="A125" s="9"/>
      <c r="B125" s="10"/>
      <c r="C125" s="10"/>
      <c r="D125" s="10"/>
      <c r="E125" s="10"/>
      <c r="F125" s="10"/>
      <c r="G125" s="10"/>
      <c r="H125" s="10"/>
      <c r="I125" s="10"/>
    </row>
    <row r="126" spans="1:9" x14ac:dyDescent="0.15">
      <c r="A126" s="74"/>
      <c r="B126" s="75"/>
      <c r="C126" s="75"/>
      <c r="D126" s="75"/>
      <c r="E126" s="75"/>
      <c r="F126" s="75"/>
      <c r="G126" s="75"/>
      <c r="H126" s="75"/>
      <c r="I126" s="76"/>
    </row>
    <row r="127" spans="1:9" x14ac:dyDescent="0.15">
      <c r="A127" s="74" t="s">
        <v>165</v>
      </c>
      <c r="B127" s="75"/>
      <c r="C127" s="75"/>
      <c r="D127" s="75"/>
      <c r="E127" s="75"/>
      <c r="F127" s="75"/>
      <c r="G127" s="75"/>
      <c r="H127" s="75"/>
      <c r="I127" s="76"/>
    </row>
    <row r="128" spans="1:9" x14ac:dyDescent="0.15">
      <c r="A128" s="9" t="s">
        <v>166</v>
      </c>
      <c r="B128" s="10"/>
      <c r="C128" s="10"/>
      <c r="D128" s="10"/>
      <c r="E128" s="10"/>
      <c r="F128" s="10"/>
      <c r="G128" s="10"/>
      <c r="H128" s="10"/>
      <c r="I128" s="10"/>
    </row>
    <row r="129" spans="1:9" x14ac:dyDescent="0.15">
      <c r="A129" s="9" t="s">
        <v>167</v>
      </c>
      <c r="B129" s="10"/>
      <c r="C129" s="10"/>
      <c r="D129" s="10"/>
      <c r="E129" s="10"/>
      <c r="F129" s="10"/>
      <c r="G129" s="10"/>
      <c r="H129" s="10"/>
      <c r="I129" s="10"/>
    </row>
    <row r="130" spans="1:9" x14ac:dyDescent="0.15">
      <c r="A130" s="20" t="s">
        <v>168</v>
      </c>
      <c r="B130" s="10"/>
      <c r="C130" s="10"/>
      <c r="D130" s="10"/>
      <c r="E130" s="10"/>
      <c r="F130" s="10"/>
      <c r="G130" s="10"/>
      <c r="H130" s="10"/>
      <c r="I130" s="10"/>
    </row>
    <row r="131" spans="1:9" ht="27" customHeight="1" x14ac:dyDescent="0.15">
      <c r="A131" s="9" t="s">
        <v>169</v>
      </c>
      <c r="B131" s="10" t="s">
        <v>312</v>
      </c>
      <c r="C131" s="10"/>
      <c r="D131" s="10"/>
      <c r="E131" s="10"/>
      <c r="F131" s="10"/>
      <c r="G131" s="10"/>
      <c r="H131" s="10"/>
      <c r="I131" s="10"/>
    </row>
    <row r="132" spans="1:9" x14ac:dyDescent="0.15">
      <c r="A132" s="9"/>
      <c r="B132" s="10"/>
      <c r="C132" s="10"/>
      <c r="D132" s="10"/>
      <c r="E132" s="10"/>
      <c r="F132" s="10"/>
      <c r="G132" s="10"/>
      <c r="H132" s="10"/>
      <c r="I132" s="10"/>
    </row>
    <row r="133" spans="1:9" x14ac:dyDescent="0.15">
      <c r="A133" s="48"/>
      <c r="B133" s="24"/>
      <c r="C133" s="24"/>
      <c r="D133" s="24"/>
      <c r="E133" s="24"/>
      <c r="F133" s="24"/>
      <c r="G133" s="24"/>
      <c r="H133" s="24"/>
      <c r="I133" s="24"/>
    </row>
    <row r="134" spans="1:9" x14ac:dyDescent="0.15">
      <c r="A134" s="24"/>
    </row>
    <row r="135" spans="1:9" x14ac:dyDescent="0.15">
      <c r="A135" s="95" t="s">
        <v>170</v>
      </c>
      <c r="B135" s="73"/>
      <c r="C135" s="73"/>
      <c r="D135" s="73"/>
      <c r="E135" s="73"/>
      <c r="F135" s="73"/>
      <c r="G135" s="73"/>
      <c r="H135" s="73"/>
      <c r="I135" s="24"/>
    </row>
    <row r="136" spans="1:9" x14ac:dyDescent="0.15">
      <c r="A136" s="24" t="s">
        <v>171</v>
      </c>
      <c r="B136" s="24"/>
      <c r="C136" s="24"/>
      <c r="D136" s="24"/>
      <c r="E136" s="24"/>
      <c r="F136" s="24"/>
      <c r="G136" s="24"/>
      <c r="H136" s="24"/>
      <c r="I136" s="24"/>
    </row>
    <row r="137" spans="1:9" x14ac:dyDescent="0.15">
      <c r="A137" s="13" t="s">
        <v>172</v>
      </c>
      <c r="B137" s="24"/>
      <c r="C137" s="24"/>
      <c r="D137" s="24"/>
      <c r="E137" s="24"/>
      <c r="F137" s="24"/>
      <c r="G137" s="24"/>
      <c r="H137" s="24"/>
      <c r="I137" s="24"/>
    </row>
    <row r="138" spans="1:9" ht="77.25" customHeight="1" x14ac:dyDescent="0.15">
      <c r="A138" s="92" t="s">
        <v>313</v>
      </c>
      <c r="B138" s="73"/>
      <c r="C138" s="73"/>
      <c r="D138" s="73"/>
      <c r="E138" s="73"/>
      <c r="F138" s="73"/>
      <c r="G138" s="73"/>
      <c r="H138" s="73"/>
      <c r="I138" s="73"/>
    </row>
    <row r="139" spans="1:9" x14ac:dyDescent="0.15">
      <c r="A139" t="s">
        <v>314</v>
      </c>
    </row>
  </sheetData>
  <mergeCells count="34">
    <mergeCell ref="A127:I127"/>
    <mergeCell ref="A126:I126"/>
    <mergeCell ref="A135:H135"/>
    <mergeCell ref="A138:I138"/>
    <mergeCell ref="A122:I122"/>
    <mergeCell ref="A105:I105"/>
    <mergeCell ref="A106:I106"/>
    <mergeCell ref="A114:I114"/>
    <mergeCell ref="A115:I115"/>
    <mergeCell ref="A121:I121"/>
    <mergeCell ref="A80:H80"/>
    <mergeCell ref="A81:H81"/>
    <mergeCell ref="A82:H82"/>
    <mergeCell ref="A85:H85"/>
    <mergeCell ref="A94:A97"/>
    <mergeCell ref="A87:I87"/>
    <mergeCell ref="A79:H79"/>
    <mergeCell ref="A44:H44"/>
    <mergeCell ref="A48:H48"/>
    <mergeCell ref="A68:H68"/>
    <mergeCell ref="A69:H69"/>
    <mergeCell ref="A70:H70"/>
    <mergeCell ref="A71:H71"/>
    <mergeCell ref="A73:H73"/>
    <mergeCell ref="A75:H75"/>
    <mergeCell ref="A76:H76"/>
    <mergeCell ref="A77:H77"/>
    <mergeCell ref="A78:H78"/>
    <mergeCell ref="A43:H43"/>
    <mergeCell ref="A1:H1"/>
    <mergeCell ref="A2:H2"/>
    <mergeCell ref="A36:H36"/>
    <mergeCell ref="A40:G40"/>
    <mergeCell ref="A42:H42"/>
  </mergeCells>
  <phoneticPr fontId="1" type="noConversion"/>
  <dataValidations count="8">
    <dataValidation type="list" showInputMessage="1" showErrorMessage="1" sqref="B60">
      <formula1>"妖怪型,老母鸭型,现金奶牛，其他型排除"</formula1>
    </dataValidation>
    <dataValidation type="list" showInputMessage="1" showErrorMessage="1" sqref="B52:B54 B56:B59">
      <formula1>"是,否"</formula1>
    </dataValidation>
    <dataValidation type="list" showInputMessage="1" showErrorMessage="1" sqref="A38">
      <formula1>"2B,2C"</formula1>
    </dataValidation>
    <dataValidation type="list" showInputMessage="1" showErrorMessage="1" sqref="B32">
      <formula1>"电子,计算机,电气设备,通信"</formula1>
    </dataValidation>
    <dataValidation type="list" showInputMessage="1" showErrorMessage="1" sqref="B31">
      <formula1>"采掘,化工,钢铁,有色,房地产,机器设备,建筑装饰,交通运输"</formula1>
    </dataValidation>
    <dataValidation type="list" showInputMessage="1" showErrorMessage="1" sqref="B29">
      <formula1>"银行,非银金融,公共事业"</formula1>
    </dataValidation>
    <dataValidation type="list" showInputMessage="1" showErrorMessage="1" sqref="B28">
      <formula1>"家用电器,食品饮料,纺织服装,医药生物,休闲服务,传媒,汽车, "</formula1>
    </dataValidation>
    <dataValidation type="list" showInputMessage="1" showErrorMessage="1" sqref="A75:H75">
      <formula1>"缓慢增长,高速增长,稳定增长,周期类,困难反正类,隐藏资产类"</formula1>
    </dataValidation>
  </dataValidations>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12"/>
  <sheetViews>
    <sheetView workbookViewId="0">
      <selection activeCell="J22" sqref="J22"/>
    </sheetView>
  </sheetViews>
  <sheetFormatPr defaultRowHeight="13.5" x14ac:dyDescent="0.15"/>
  <cols>
    <col min="1" max="1" width="11" style="65" customWidth="1"/>
    <col min="2" max="2" width="14.25" style="65" customWidth="1"/>
    <col min="3" max="3" width="8.125" style="65" customWidth="1"/>
    <col min="4" max="4" width="10.125" style="65" customWidth="1"/>
    <col min="5" max="5" width="27.5" style="65" customWidth="1"/>
    <col min="6" max="6" width="12.75" style="65" customWidth="1"/>
  </cols>
  <sheetData>
    <row r="1" spans="1:11" x14ac:dyDescent="0.15">
      <c r="A1" t="s">
        <v>1</v>
      </c>
      <c r="B1" t="s">
        <v>2</v>
      </c>
      <c r="C1" t="s">
        <v>315</v>
      </c>
      <c r="D1" t="s">
        <v>316</v>
      </c>
      <c r="E1" t="s">
        <v>317</v>
      </c>
      <c r="F1" t="s">
        <v>318</v>
      </c>
    </row>
    <row r="2" spans="1:11" x14ac:dyDescent="0.15">
      <c r="A2" t="s">
        <v>24</v>
      </c>
      <c r="B2" t="str">
        <f t="shared" ref="B2:B7" si="0">getStockName($A2)</f>
        <v>中国医药</v>
      </c>
      <c r="F2" t="s">
        <v>319</v>
      </c>
    </row>
    <row r="3" spans="1:11" x14ac:dyDescent="0.15">
      <c r="A3" s="26" t="s">
        <v>31</v>
      </c>
      <c r="B3" t="str">
        <f t="shared" si="0"/>
        <v>大华股份</v>
      </c>
    </row>
    <row r="4" spans="1:11" x14ac:dyDescent="0.15">
      <c r="A4" s="26" t="s">
        <v>58</v>
      </c>
      <c r="B4" t="str">
        <f t="shared" si="0"/>
        <v>分众传媒</v>
      </c>
      <c r="E4" t="s">
        <v>320</v>
      </c>
      <c r="F4" t="s">
        <v>320</v>
      </c>
      <c r="K4" t="s">
        <v>321</v>
      </c>
    </row>
    <row r="5" spans="1:11" x14ac:dyDescent="0.15">
      <c r="A5" s="26" t="s">
        <v>52</v>
      </c>
      <c r="B5" t="str">
        <f t="shared" si="0"/>
        <v>宁波银行</v>
      </c>
      <c r="E5" t="s">
        <v>322</v>
      </c>
      <c r="F5" t="s">
        <v>323</v>
      </c>
      <c r="K5">
        <v>5.13</v>
      </c>
    </row>
    <row r="6" spans="1:11" x14ac:dyDescent="0.15">
      <c r="A6" t="s">
        <v>324</v>
      </c>
      <c r="B6" t="str">
        <f t="shared" si="0"/>
        <v>游族网络</v>
      </c>
      <c r="F6" t="s">
        <v>325</v>
      </c>
      <c r="K6">
        <v>5.41</v>
      </c>
    </row>
    <row r="7" spans="1:11" x14ac:dyDescent="0.15">
      <c r="A7" t="s">
        <v>326</v>
      </c>
      <c r="B7" t="str">
        <f t="shared" si="0"/>
        <v>证通电子</v>
      </c>
      <c r="F7" t="s">
        <v>327</v>
      </c>
      <c r="K7">
        <v>5.7</v>
      </c>
    </row>
    <row r="8" spans="1:11" x14ac:dyDescent="0.15">
      <c r="K8">
        <v>6</v>
      </c>
    </row>
    <row r="9" spans="1:11" x14ac:dyDescent="0.15">
      <c r="K9">
        <v>6.3</v>
      </c>
    </row>
    <row r="10" spans="1:11" x14ac:dyDescent="0.15">
      <c r="K10">
        <v>6.61</v>
      </c>
    </row>
    <row r="11" spans="1:11" x14ac:dyDescent="0.15">
      <c r="K11">
        <v>6.94</v>
      </c>
    </row>
    <row r="12" spans="1:11" x14ac:dyDescent="0.15">
      <c r="K12">
        <v>7.29</v>
      </c>
    </row>
  </sheetData>
  <phoneticPr fontId="1" type="noConversion"/>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0"/>
  <sheetViews>
    <sheetView workbookViewId="0">
      <selection activeCell="M21" sqref="M21"/>
    </sheetView>
  </sheetViews>
  <sheetFormatPr defaultRowHeight="13.5" x14ac:dyDescent="0.15"/>
  <cols>
    <col min="10" max="10" width="13.5" style="65" customWidth="1"/>
  </cols>
  <sheetData>
    <row r="1" spans="1:12" x14ac:dyDescent="0.15">
      <c r="A1" t="s">
        <v>328</v>
      </c>
    </row>
    <row r="2" spans="1:12" x14ac:dyDescent="0.15">
      <c r="A2" t="s">
        <v>329</v>
      </c>
      <c r="B2" t="s">
        <v>10</v>
      </c>
      <c r="C2" t="s">
        <v>330</v>
      </c>
      <c r="D2" t="s">
        <v>331</v>
      </c>
      <c r="E2" t="s">
        <v>332</v>
      </c>
      <c r="F2" t="s">
        <v>333</v>
      </c>
      <c r="G2" t="s">
        <v>334</v>
      </c>
      <c r="H2" t="s">
        <v>335</v>
      </c>
      <c r="I2" t="s">
        <v>336</v>
      </c>
      <c r="J2" t="s">
        <v>337</v>
      </c>
      <c r="K2" t="s">
        <v>338</v>
      </c>
      <c r="L2" s="30">
        <v>0.02</v>
      </c>
    </row>
    <row r="3" spans="1:12" x14ac:dyDescent="0.15">
      <c r="A3" s="99" t="s">
        <v>339</v>
      </c>
      <c r="B3" s="31">
        <v>0.72</v>
      </c>
      <c r="C3" s="31">
        <v>0.75600000000000001</v>
      </c>
      <c r="D3" s="32">
        <v>500</v>
      </c>
      <c r="E3" s="32">
        <v>500</v>
      </c>
      <c r="F3" s="32">
        <f t="shared" ref="F3:F19" si="0">D3/B3</f>
        <v>694.44444444444446</v>
      </c>
      <c r="G3" s="32">
        <f t="shared" ref="G3:G19" si="1">E3/C3</f>
        <v>661.37566137566137</v>
      </c>
      <c r="H3" s="32">
        <f t="shared" ref="H3:H19" si="2">F3-G3</f>
        <v>33.068783068783091</v>
      </c>
      <c r="I3" s="33">
        <f t="shared" ref="I3:I19" si="3">C3*F3-D3</f>
        <v>25</v>
      </c>
      <c r="J3" s="32">
        <f>D3</f>
        <v>500</v>
      </c>
      <c r="K3" t="s">
        <v>11</v>
      </c>
      <c r="L3">
        <f ca="1">getStockPrice("sz162411")</f>
        <v>0.36</v>
      </c>
    </row>
    <row r="4" spans="1:12" x14ac:dyDescent="0.15">
      <c r="A4" s="90"/>
      <c r="B4" s="31">
        <v>0.68400000000000005</v>
      </c>
      <c r="C4" s="31">
        <v>0.72</v>
      </c>
      <c r="D4" s="32">
        <f t="shared" ref="D4:D19" si="4">D3*(1+$L$2)</f>
        <v>510</v>
      </c>
      <c r="E4" s="32">
        <f t="shared" ref="E4:E19" si="5">E3*(1+$L$2)</f>
        <v>510</v>
      </c>
      <c r="F4" s="32">
        <f t="shared" si="0"/>
        <v>745.61403508771923</v>
      </c>
      <c r="G4" s="32">
        <f t="shared" si="1"/>
        <v>708.33333333333337</v>
      </c>
      <c r="H4" s="32">
        <f t="shared" si="2"/>
        <v>37.280701754385859</v>
      </c>
      <c r="I4" s="33">
        <f t="shared" si="3"/>
        <v>26.842105263157805</v>
      </c>
      <c r="J4" s="32">
        <f t="shared" ref="J4:J19" si="6">J3+D4</f>
        <v>1010</v>
      </c>
    </row>
    <row r="5" spans="1:12" x14ac:dyDescent="0.15">
      <c r="A5" s="91"/>
      <c r="B5" s="31">
        <v>0.64900000000000002</v>
      </c>
      <c r="C5" s="31">
        <v>0.68400000000000005</v>
      </c>
      <c r="D5" s="32">
        <f t="shared" si="4"/>
        <v>520.20000000000005</v>
      </c>
      <c r="E5" s="32">
        <f t="shared" si="5"/>
        <v>520.20000000000005</v>
      </c>
      <c r="F5" s="32">
        <f t="shared" si="0"/>
        <v>801.54083204930669</v>
      </c>
      <c r="G5" s="32">
        <f t="shared" si="1"/>
        <v>760.52631578947364</v>
      </c>
      <c r="H5" s="32">
        <f t="shared" si="2"/>
        <v>41.014516259833044</v>
      </c>
      <c r="I5" s="33">
        <f t="shared" si="3"/>
        <v>28.053929121725787</v>
      </c>
      <c r="J5" s="32">
        <f t="shared" si="6"/>
        <v>1530.2</v>
      </c>
    </row>
    <row r="6" spans="1:12" x14ac:dyDescent="0.15">
      <c r="A6" s="34" t="s">
        <v>340</v>
      </c>
      <c r="B6" s="35">
        <v>0.64</v>
      </c>
      <c r="C6" s="35">
        <v>0.72</v>
      </c>
      <c r="D6" s="36">
        <f t="shared" si="4"/>
        <v>530.60400000000004</v>
      </c>
      <c r="E6" s="36">
        <f t="shared" si="5"/>
        <v>530.60400000000004</v>
      </c>
      <c r="F6" s="36">
        <f t="shared" si="0"/>
        <v>829.06875000000002</v>
      </c>
      <c r="G6" s="36">
        <f t="shared" si="1"/>
        <v>736.95</v>
      </c>
      <c r="H6" s="36">
        <f t="shared" si="2"/>
        <v>92.118749999999977</v>
      </c>
      <c r="I6" s="37">
        <f t="shared" si="3"/>
        <v>66.32549999999992</v>
      </c>
      <c r="J6" s="36">
        <f t="shared" si="6"/>
        <v>2060.8040000000001</v>
      </c>
    </row>
    <row r="7" spans="1:12" x14ac:dyDescent="0.15">
      <c r="A7" s="99" t="s">
        <v>339</v>
      </c>
      <c r="B7" s="31">
        <v>0.61699999999999999</v>
      </c>
      <c r="C7" s="31">
        <v>0.64900000000000002</v>
      </c>
      <c r="D7" s="32">
        <f t="shared" si="4"/>
        <v>541.21608000000003</v>
      </c>
      <c r="E7" s="32">
        <f t="shared" si="5"/>
        <v>541.21608000000003</v>
      </c>
      <c r="F7" s="32">
        <f t="shared" si="0"/>
        <v>877.17354943273915</v>
      </c>
      <c r="G7" s="32">
        <f t="shared" si="1"/>
        <v>833.92308166409862</v>
      </c>
      <c r="H7" s="32">
        <f t="shared" si="2"/>
        <v>43.250467768640533</v>
      </c>
      <c r="I7" s="33">
        <f t="shared" si="3"/>
        <v>28.069553581847686</v>
      </c>
      <c r="J7" s="32">
        <f t="shared" si="6"/>
        <v>2602.0200800000002</v>
      </c>
    </row>
    <row r="8" spans="1:12" x14ac:dyDescent="0.15">
      <c r="A8" s="90"/>
      <c r="B8" s="31">
        <v>0.58599999999999997</v>
      </c>
      <c r="C8" s="31">
        <v>0.61699999999999999</v>
      </c>
      <c r="D8" s="32">
        <f t="shared" si="4"/>
        <v>552.0404016</v>
      </c>
      <c r="E8" s="32">
        <f t="shared" si="5"/>
        <v>552.0404016</v>
      </c>
      <c r="F8" s="32">
        <f t="shared" si="0"/>
        <v>942.04846689419799</v>
      </c>
      <c r="G8" s="32">
        <f t="shared" si="1"/>
        <v>894.71702042139384</v>
      </c>
      <c r="H8" s="32">
        <f t="shared" si="2"/>
        <v>47.331446472804146</v>
      </c>
      <c r="I8" s="33">
        <f t="shared" si="3"/>
        <v>29.203502473720164</v>
      </c>
      <c r="J8" s="32">
        <f t="shared" si="6"/>
        <v>3154.0604816000005</v>
      </c>
    </row>
    <row r="9" spans="1:12" x14ac:dyDescent="0.15">
      <c r="A9" s="91"/>
      <c r="B9" s="31">
        <v>0.55700000000000005</v>
      </c>
      <c r="C9" s="31">
        <v>0.58599999999999997</v>
      </c>
      <c r="D9" s="32">
        <f t="shared" si="4"/>
        <v>563.08120963199997</v>
      </c>
      <c r="E9" s="32">
        <f t="shared" si="5"/>
        <v>563.08120963199997</v>
      </c>
      <c r="F9" s="32">
        <f t="shared" si="0"/>
        <v>1010.9177910807898</v>
      </c>
      <c r="G9" s="32">
        <f t="shared" si="1"/>
        <v>960.88943623208195</v>
      </c>
      <c r="H9" s="32">
        <f t="shared" si="2"/>
        <v>50.028354848707863</v>
      </c>
      <c r="I9" s="33">
        <f t="shared" si="3"/>
        <v>29.316615941342775</v>
      </c>
      <c r="J9" s="32">
        <f t="shared" si="6"/>
        <v>3717.1416912320005</v>
      </c>
    </row>
    <row r="10" spans="1:12" x14ac:dyDescent="0.15">
      <c r="A10" s="34" t="s">
        <v>340</v>
      </c>
      <c r="B10" s="35">
        <v>0.55700000000000005</v>
      </c>
      <c r="C10" s="35">
        <v>0.64</v>
      </c>
      <c r="D10" s="36">
        <f t="shared" si="4"/>
        <v>574.34283382464002</v>
      </c>
      <c r="E10" s="36">
        <f t="shared" si="5"/>
        <v>574.34283382464002</v>
      </c>
      <c r="F10" s="36">
        <f t="shared" si="0"/>
        <v>1031.1361469024057</v>
      </c>
      <c r="G10" s="36">
        <f t="shared" si="1"/>
        <v>897.41067785100006</v>
      </c>
      <c r="H10" s="36">
        <f t="shared" si="2"/>
        <v>133.72546905140564</v>
      </c>
      <c r="I10" s="37">
        <f t="shared" si="3"/>
        <v>85.584300192899605</v>
      </c>
      <c r="J10" s="36">
        <f t="shared" si="6"/>
        <v>4291.4845250566405</v>
      </c>
    </row>
    <row r="11" spans="1:12" x14ac:dyDescent="0.15">
      <c r="A11" s="38" t="s">
        <v>341</v>
      </c>
      <c r="B11" s="39">
        <v>0.55700000000000005</v>
      </c>
      <c r="C11" s="39">
        <v>0.72</v>
      </c>
      <c r="D11" s="40">
        <f t="shared" si="4"/>
        <v>585.82969050113286</v>
      </c>
      <c r="E11" s="40">
        <f t="shared" si="5"/>
        <v>585.82969050113286</v>
      </c>
      <c r="F11" s="40">
        <f t="shared" si="0"/>
        <v>1051.7588698404538</v>
      </c>
      <c r="G11" s="40">
        <f t="shared" si="1"/>
        <v>813.65234791824014</v>
      </c>
      <c r="H11" s="40">
        <f t="shared" si="2"/>
        <v>238.10652192221369</v>
      </c>
      <c r="I11" s="41">
        <f t="shared" si="3"/>
        <v>171.43669578399386</v>
      </c>
      <c r="J11" s="40">
        <f t="shared" si="6"/>
        <v>4877.3142155577734</v>
      </c>
    </row>
    <row r="12" spans="1:12" x14ac:dyDescent="0.15">
      <c r="A12" s="99" t="s">
        <v>339</v>
      </c>
      <c r="B12" s="31">
        <v>0.52900000000000003</v>
      </c>
      <c r="C12" s="31">
        <v>0.55700000000000005</v>
      </c>
      <c r="D12" s="32">
        <f t="shared" si="4"/>
        <v>597.54628431115555</v>
      </c>
      <c r="E12" s="32">
        <f t="shared" si="5"/>
        <v>597.54628431115555</v>
      </c>
      <c r="F12" s="32">
        <f t="shared" si="0"/>
        <v>1129.5770969965133</v>
      </c>
      <c r="G12" s="32">
        <f t="shared" si="1"/>
        <v>1072.7940472372629</v>
      </c>
      <c r="H12" s="32">
        <f t="shared" si="2"/>
        <v>56.783049759250389</v>
      </c>
      <c r="I12" s="33">
        <f t="shared" si="3"/>
        <v>31.628158715902487</v>
      </c>
      <c r="J12" s="32">
        <f t="shared" si="6"/>
        <v>5474.8604998689289</v>
      </c>
    </row>
    <row r="13" spans="1:12" x14ac:dyDescent="0.15">
      <c r="A13" s="91"/>
      <c r="B13" s="31">
        <v>0.502</v>
      </c>
      <c r="C13" s="31">
        <v>0.52900000000000003</v>
      </c>
      <c r="D13" s="32">
        <f t="shared" si="4"/>
        <v>609.49720999737872</v>
      </c>
      <c r="E13" s="32">
        <f t="shared" si="5"/>
        <v>609.49720999737872</v>
      </c>
      <c r="F13" s="32">
        <f t="shared" si="0"/>
        <v>1214.1378685206748</v>
      </c>
      <c r="G13" s="32">
        <f t="shared" si="1"/>
        <v>1152.1686389364436</v>
      </c>
      <c r="H13" s="32">
        <f t="shared" si="2"/>
        <v>61.969229584231243</v>
      </c>
      <c r="I13" s="33">
        <f t="shared" si="3"/>
        <v>32.781722450058282</v>
      </c>
      <c r="J13" s="32">
        <f t="shared" si="6"/>
        <v>6084.3577098663072</v>
      </c>
    </row>
    <row r="14" spans="1:12" x14ac:dyDescent="0.15">
      <c r="A14" s="34" t="s">
        <v>340</v>
      </c>
      <c r="B14" s="35">
        <v>0.495</v>
      </c>
      <c r="C14" s="35">
        <v>0.55700000000000005</v>
      </c>
      <c r="D14" s="36">
        <f t="shared" si="4"/>
        <v>621.68715419732632</v>
      </c>
      <c r="E14" s="36">
        <f t="shared" si="5"/>
        <v>621.68715419732632</v>
      </c>
      <c r="F14" s="36">
        <f t="shared" si="0"/>
        <v>1255.9336448430836</v>
      </c>
      <c r="G14" s="36">
        <f t="shared" si="1"/>
        <v>1116.1349267456485</v>
      </c>
      <c r="H14" s="36">
        <f t="shared" si="2"/>
        <v>139.79871809743508</v>
      </c>
      <c r="I14" s="37">
        <f t="shared" si="3"/>
        <v>77.867885980271353</v>
      </c>
      <c r="J14" s="36">
        <f t="shared" si="6"/>
        <v>6706.0448640636332</v>
      </c>
    </row>
    <row r="15" spans="1:12" x14ac:dyDescent="0.15">
      <c r="A15" s="99" t="s">
        <v>339</v>
      </c>
      <c r="B15" s="31">
        <v>0.47699999999999998</v>
      </c>
      <c r="C15" s="31">
        <v>0.502</v>
      </c>
      <c r="D15" s="32">
        <f t="shared" si="4"/>
        <v>634.12089728127285</v>
      </c>
      <c r="E15" s="32">
        <f t="shared" si="5"/>
        <v>634.12089728127285</v>
      </c>
      <c r="F15" s="32">
        <f t="shared" si="0"/>
        <v>1329.3939146357923</v>
      </c>
      <c r="G15" s="32">
        <f t="shared" si="1"/>
        <v>1263.1890384089099</v>
      </c>
      <c r="H15" s="32">
        <f t="shared" si="2"/>
        <v>66.204876226882334</v>
      </c>
      <c r="I15" s="33">
        <f t="shared" si="3"/>
        <v>33.234847865894835</v>
      </c>
      <c r="J15" s="32">
        <f t="shared" si="6"/>
        <v>7340.1657613449061</v>
      </c>
      <c r="L15" s="42">
        <f>SUM(F3:F15)</f>
        <v>12912.745410728121</v>
      </c>
    </row>
    <row r="16" spans="1:12" x14ac:dyDescent="0.15">
      <c r="A16" s="90"/>
      <c r="B16" s="31">
        <v>0.45300000000000001</v>
      </c>
      <c r="C16" s="31">
        <v>0.47699999999999998</v>
      </c>
      <c r="D16" s="32">
        <f t="shared" si="4"/>
        <v>646.80331522689835</v>
      </c>
      <c r="E16" s="32">
        <f t="shared" si="5"/>
        <v>646.80331522689835</v>
      </c>
      <c r="F16" s="32">
        <f t="shared" si="0"/>
        <v>1427.8218879180979</v>
      </c>
      <c r="G16" s="32">
        <f t="shared" si="1"/>
        <v>1355.9817929285082</v>
      </c>
      <c r="H16" s="32">
        <f t="shared" si="2"/>
        <v>71.840094989589716</v>
      </c>
      <c r="I16" s="33">
        <f t="shared" si="3"/>
        <v>34.26772531003428</v>
      </c>
      <c r="J16" s="32">
        <f t="shared" si="6"/>
        <v>7986.9690765718042</v>
      </c>
    </row>
    <row r="17" spans="1:10" x14ac:dyDescent="0.15">
      <c r="A17" s="91"/>
      <c r="B17" s="31">
        <v>0.43099999999999999</v>
      </c>
      <c r="C17" s="31">
        <v>0.45300000000000001</v>
      </c>
      <c r="D17" s="32">
        <f t="shared" si="4"/>
        <v>659.73938153143638</v>
      </c>
      <c r="E17" s="32">
        <f t="shared" si="5"/>
        <v>659.73938153143638</v>
      </c>
      <c r="F17" s="32">
        <f t="shared" si="0"/>
        <v>1530.7178225787388</v>
      </c>
      <c r="G17" s="32">
        <f t="shared" si="1"/>
        <v>1456.37832567646</v>
      </c>
      <c r="H17" s="32">
        <f t="shared" si="2"/>
        <v>74.339496902278825</v>
      </c>
      <c r="I17" s="33">
        <f t="shared" si="3"/>
        <v>33.67579209673238</v>
      </c>
      <c r="J17" s="32">
        <f t="shared" si="6"/>
        <v>8646.7084581032414</v>
      </c>
    </row>
    <row r="18" spans="1:10" x14ac:dyDescent="0.15">
      <c r="A18" s="34" t="s">
        <v>340</v>
      </c>
      <c r="B18" s="35">
        <v>0.43099999999999999</v>
      </c>
      <c r="C18" s="35">
        <v>0.495</v>
      </c>
      <c r="D18" s="36">
        <f t="shared" si="4"/>
        <v>672.93416916206513</v>
      </c>
      <c r="E18" s="36">
        <f t="shared" si="5"/>
        <v>672.93416916206513</v>
      </c>
      <c r="F18" s="36">
        <f t="shared" si="0"/>
        <v>1561.3321790303135</v>
      </c>
      <c r="G18" s="36">
        <f t="shared" si="1"/>
        <v>1359.4629680041719</v>
      </c>
      <c r="H18" s="36">
        <f t="shared" si="2"/>
        <v>201.86921102614156</v>
      </c>
      <c r="I18" s="37">
        <f t="shared" si="3"/>
        <v>99.925259457940001</v>
      </c>
      <c r="J18" s="36">
        <f t="shared" si="6"/>
        <v>9319.6426272653061</v>
      </c>
    </row>
    <row r="19" spans="1:10" x14ac:dyDescent="0.15">
      <c r="A19" s="38" t="s">
        <v>341</v>
      </c>
      <c r="B19" s="39">
        <v>0.43099999999999999</v>
      </c>
      <c r="C19" s="39">
        <v>0.55700000000000005</v>
      </c>
      <c r="D19" s="40">
        <f t="shared" si="4"/>
        <v>686.39285254530648</v>
      </c>
      <c r="E19" s="40">
        <f t="shared" si="5"/>
        <v>686.39285254530648</v>
      </c>
      <c r="F19" s="40">
        <f t="shared" si="0"/>
        <v>1592.5588226109198</v>
      </c>
      <c r="G19" s="40">
        <f t="shared" si="1"/>
        <v>1232.3031464009091</v>
      </c>
      <c r="H19" s="40">
        <f t="shared" si="2"/>
        <v>360.25567621001073</v>
      </c>
      <c r="I19" s="41">
        <f t="shared" si="3"/>
        <v>200.66241164897599</v>
      </c>
      <c r="J19" s="40">
        <f t="shared" si="6"/>
        <v>10006.035479810613</v>
      </c>
    </row>
    <row r="20" spans="1:10" x14ac:dyDescent="0.15">
      <c r="D20" s="42">
        <f>SUM(D3:D19)</f>
        <v>10006.035479810613</v>
      </c>
    </row>
  </sheetData>
  <mergeCells count="4">
    <mergeCell ref="A3:A5"/>
    <mergeCell ref="A7:A9"/>
    <mergeCell ref="A12:A13"/>
    <mergeCell ref="A15:A17"/>
  </mergeCells>
  <phoneticPr fontId="1"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I128"/>
  <sheetViews>
    <sheetView topLeftCell="A103" workbookViewId="0">
      <selection activeCell="K115" sqref="K115"/>
    </sheetView>
  </sheetViews>
  <sheetFormatPr defaultRowHeight="13.5" x14ac:dyDescent="0.15"/>
  <cols>
    <col min="1" max="1" width="24" style="65" customWidth="1"/>
    <col min="2" max="2" width="11.625" style="65" customWidth="1"/>
    <col min="9" max="9" width="22.5" style="65" customWidth="1"/>
  </cols>
  <sheetData>
    <row r="3" spans="1:9" x14ac:dyDescent="0.15">
      <c r="A3" s="80" t="s">
        <v>64</v>
      </c>
      <c r="B3" s="73"/>
      <c r="C3" s="73"/>
      <c r="D3" s="73"/>
      <c r="E3" s="73"/>
      <c r="F3" s="73"/>
      <c r="G3" s="73"/>
      <c r="H3" s="73"/>
      <c r="I3" s="66"/>
    </row>
    <row r="4" spans="1:9" x14ac:dyDescent="0.15">
      <c r="A4" s="67"/>
      <c r="B4" s="67"/>
      <c r="C4" s="67"/>
      <c r="D4" s="67"/>
      <c r="E4" s="66"/>
      <c r="F4" s="66"/>
      <c r="G4" s="66"/>
      <c r="H4" s="66"/>
      <c r="I4" s="66"/>
    </row>
    <row r="5" spans="1:9" x14ac:dyDescent="0.15">
      <c r="A5" s="67" t="s">
        <v>65</v>
      </c>
      <c r="B5" s="67" t="s">
        <v>66</v>
      </c>
      <c r="C5" s="67"/>
      <c r="D5" s="67"/>
      <c r="E5" s="66"/>
      <c r="F5" s="66"/>
      <c r="G5" s="66"/>
      <c r="H5" s="66"/>
      <c r="I5" s="66"/>
    </row>
    <row r="6" spans="1:9" x14ac:dyDescent="0.15">
      <c r="A6" s="48" t="s">
        <v>67</v>
      </c>
      <c r="B6" s="46"/>
      <c r="C6" s="67"/>
      <c r="D6" s="67"/>
      <c r="E6" s="66"/>
      <c r="F6" s="66"/>
      <c r="G6" s="66"/>
      <c r="H6" s="66"/>
      <c r="I6" s="66"/>
    </row>
    <row r="7" spans="1:9" x14ac:dyDescent="0.15">
      <c r="A7" s="48" t="s">
        <v>68</v>
      </c>
      <c r="B7" s="47"/>
      <c r="C7" s="67"/>
      <c r="D7" s="67"/>
      <c r="E7" s="66"/>
      <c r="F7" s="66"/>
      <c r="G7" s="66"/>
      <c r="H7" s="66"/>
      <c r="I7" s="66"/>
    </row>
    <row r="8" spans="1:9" x14ac:dyDescent="0.15">
      <c r="A8" s="67" t="s">
        <v>69</v>
      </c>
      <c r="B8" s="48"/>
      <c r="C8" s="48"/>
      <c r="D8" s="48"/>
      <c r="E8" s="66"/>
      <c r="F8" s="66"/>
      <c r="G8" s="66"/>
      <c r="H8" s="66"/>
      <c r="I8" s="66"/>
    </row>
    <row r="9" spans="1:9" x14ac:dyDescent="0.15">
      <c r="A9" s="48" t="s">
        <v>70</v>
      </c>
      <c r="B9" s="46"/>
      <c r="C9" s="67"/>
      <c r="D9" s="67"/>
      <c r="E9" s="66"/>
      <c r="F9" s="66"/>
      <c r="G9" s="66"/>
      <c r="H9" s="66"/>
      <c r="I9" s="66"/>
    </row>
    <row r="10" spans="1:9" x14ac:dyDescent="0.15">
      <c r="A10" s="48" t="s">
        <v>71</v>
      </c>
      <c r="B10" s="46"/>
      <c r="C10" s="67"/>
      <c r="D10" s="67"/>
      <c r="E10" s="66"/>
      <c r="F10" s="66"/>
      <c r="G10" s="66"/>
      <c r="H10" s="66"/>
      <c r="I10" s="66"/>
    </row>
    <row r="11" spans="1:9" x14ac:dyDescent="0.15">
      <c r="A11" s="67" t="s">
        <v>72</v>
      </c>
      <c r="B11" s="67"/>
      <c r="C11" s="67"/>
      <c r="D11" s="67"/>
      <c r="E11" s="66"/>
      <c r="F11" s="66"/>
      <c r="G11" s="66"/>
      <c r="H11" s="66"/>
      <c r="I11" s="66"/>
    </row>
    <row r="12" spans="1:9" x14ac:dyDescent="0.15">
      <c r="A12" s="84" t="s">
        <v>73</v>
      </c>
      <c r="B12" s="73"/>
      <c r="C12" s="73"/>
      <c r="D12" s="73"/>
      <c r="E12" s="73"/>
      <c r="F12" s="73"/>
      <c r="G12" s="73"/>
      <c r="H12" s="73"/>
      <c r="I12" s="73"/>
    </row>
    <row r="13" spans="1:9" x14ac:dyDescent="0.15">
      <c r="A13" s="66"/>
      <c r="B13" s="66"/>
      <c r="C13" s="66"/>
      <c r="D13" s="66"/>
      <c r="E13" s="66"/>
      <c r="F13" s="66"/>
      <c r="G13" s="66"/>
      <c r="H13" s="66"/>
      <c r="I13" s="66"/>
    </row>
    <row r="14" spans="1:9" x14ac:dyDescent="0.15">
      <c r="A14" s="72" t="s">
        <v>74</v>
      </c>
      <c r="B14" s="73"/>
      <c r="C14" s="73"/>
      <c r="D14" s="73"/>
      <c r="E14" s="73"/>
      <c r="F14" s="73"/>
      <c r="G14" s="73"/>
      <c r="H14" s="73"/>
      <c r="I14" s="73"/>
    </row>
    <row r="15" spans="1:9" x14ac:dyDescent="0.15">
      <c r="A15" s="85" t="s">
        <v>75</v>
      </c>
      <c r="B15" s="73"/>
      <c r="C15" s="73"/>
      <c r="D15" s="73"/>
      <c r="E15" s="73"/>
      <c r="F15" s="73"/>
      <c r="G15" s="73"/>
      <c r="H15" s="73"/>
      <c r="I15" s="73"/>
    </row>
    <row r="16" spans="1:9" x14ac:dyDescent="0.15">
      <c r="A16" s="46"/>
      <c r="B16" s="83"/>
      <c r="C16" s="73"/>
      <c r="D16" s="73"/>
      <c r="E16" s="73"/>
      <c r="F16" s="73"/>
      <c r="G16" s="73"/>
      <c r="H16" s="73"/>
      <c r="I16" s="66"/>
    </row>
    <row r="17" spans="1:9" x14ac:dyDescent="0.15">
      <c r="A17" s="79" t="s">
        <v>76</v>
      </c>
      <c r="B17" s="73"/>
      <c r="C17" s="73"/>
      <c r="D17" s="73"/>
      <c r="E17" s="73"/>
      <c r="F17" s="73"/>
      <c r="G17" s="73"/>
      <c r="H17" s="73"/>
      <c r="I17" s="73"/>
    </row>
    <row r="18" spans="1:9" x14ac:dyDescent="0.15">
      <c r="A18" s="46"/>
      <c r="B18" s="82"/>
      <c r="C18" s="73"/>
      <c r="D18" s="73"/>
      <c r="E18" s="73"/>
      <c r="F18" s="73"/>
      <c r="G18" s="73"/>
      <c r="H18" s="73"/>
      <c r="I18" s="66"/>
    </row>
    <row r="19" spans="1:9" x14ac:dyDescent="0.15">
      <c r="A19" s="79" t="s">
        <v>77</v>
      </c>
      <c r="B19" s="73"/>
      <c r="C19" s="73"/>
      <c r="D19" s="73"/>
      <c r="E19" s="73"/>
      <c r="F19" s="73"/>
      <c r="G19" s="73"/>
      <c r="H19" s="73"/>
      <c r="I19" s="73"/>
    </row>
    <row r="20" spans="1:9" x14ac:dyDescent="0.15">
      <c r="A20" s="46"/>
      <c r="B20" s="81"/>
      <c r="C20" s="73"/>
      <c r="D20" s="73"/>
      <c r="E20" s="73"/>
      <c r="F20" s="73"/>
      <c r="G20" s="73"/>
      <c r="H20" s="73"/>
      <c r="I20" s="66"/>
    </row>
    <row r="21" spans="1:9" x14ac:dyDescent="0.15">
      <c r="A21" s="72" t="s">
        <v>78</v>
      </c>
      <c r="B21" s="73"/>
      <c r="C21" s="73"/>
      <c r="D21" s="73"/>
      <c r="E21" s="73"/>
      <c r="F21" s="73"/>
      <c r="G21" s="73"/>
      <c r="H21" s="73"/>
      <c r="I21" s="73"/>
    </row>
    <row r="22" spans="1:9" x14ac:dyDescent="0.15">
      <c r="A22" s="86"/>
      <c r="B22" s="73"/>
      <c r="C22" s="73"/>
      <c r="D22" s="73"/>
      <c r="E22" s="73"/>
      <c r="F22" s="73"/>
      <c r="G22" s="73"/>
      <c r="H22" s="73"/>
      <c r="I22" s="66"/>
    </row>
    <row r="23" spans="1:9" x14ac:dyDescent="0.15">
      <c r="A23" s="68"/>
      <c r="B23" s="68"/>
      <c r="C23" s="68"/>
      <c r="D23" s="68"/>
      <c r="E23" s="68"/>
      <c r="F23" s="68"/>
      <c r="G23" s="68"/>
      <c r="H23" s="68"/>
      <c r="I23" s="66"/>
    </row>
    <row r="24" spans="1:9" x14ac:dyDescent="0.15">
      <c r="A24" s="66"/>
      <c r="B24" s="66"/>
      <c r="C24" s="66"/>
      <c r="D24" s="66"/>
      <c r="E24" s="66"/>
      <c r="F24" s="66"/>
      <c r="G24" s="66"/>
      <c r="H24" s="66"/>
      <c r="I24" s="66"/>
    </row>
    <row r="25" spans="1:9" x14ac:dyDescent="0.15">
      <c r="A25" s="80" t="s">
        <v>79</v>
      </c>
      <c r="B25" s="73"/>
      <c r="C25" s="73"/>
      <c r="D25" s="73"/>
      <c r="E25" s="73"/>
      <c r="F25" s="73"/>
      <c r="G25" s="73"/>
      <c r="H25" s="73"/>
      <c r="I25" s="66"/>
    </row>
    <row r="26" spans="1:9" ht="27" customHeight="1" x14ac:dyDescent="0.15">
      <c r="A26" s="67" t="s">
        <v>80</v>
      </c>
      <c r="B26" s="67"/>
      <c r="C26" s="67"/>
      <c r="D26" s="67"/>
      <c r="E26" s="67"/>
      <c r="F26" s="67"/>
      <c r="G26" s="67"/>
      <c r="H26" s="67"/>
      <c r="I26" s="67"/>
    </row>
    <row r="27" spans="1:9" x14ac:dyDescent="0.15">
      <c r="A27" s="67"/>
      <c r="B27" s="67"/>
      <c r="C27" s="67"/>
      <c r="D27" s="67"/>
      <c r="E27" s="67"/>
      <c r="F27" s="67"/>
      <c r="G27" s="67"/>
      <c r="H27" s="67"/>
      <c r="I27" s="67"/>
    </row>
    <row r="28" spans="1:9" x14ac:dyDescent="0.15">
      <c r="A28" s="67" t="s">
        <v>81</v>
      </c>
      <c r="B28" s="67" t="s">
        <v>82</v>
      </c>
      <c r="C28" s="67"/>
      <c r="D28" s="67"/>
      <c r="E28" s="67"/>
      <c r="F28" s="67"/>
      <c r="G28" s="67"/>
      <c r="H28" s="67"/>
      <c r="I28" s="67"/>
    </row>
    <row r="29" spans="1:9" x14ac:dyDescent="0.15">
      <c r="A29" s="67" t="s">
        <v>83</v>
      </c>
      <c r="B29" s="55"/>
      <c r="C29" s="79" t="s">
        <v>84</v>
      </c>
      <c r="D29" s="73"/>
      <c r="E29" s="73"/>
      <c r="F29" s="73"/>
      <c r="G29" s="73"/>
      <c r="H29" s="73"/>
      <c r="I29" s="73"/>
    </row>
    <row r="30" spans="1:9" x14ac:dyDescent="0.15">
      <c r="A30" s="67" t="s">
        <v>85</v>
      </c>
      <c r="B30" s="55"/>
      <c r="C30" s="79" t="s">
        <v>86</v>
      </c>
      <c r="D30" s="73"/>
      <c r="E30" s="73"/>
      <c r="F30" s="73"/>
      <c r="G30" s="73"/>
      <c r="H30" s="73"/>
      <c r="I30" s="73"/>
    </row>
    <row r="31" spans="1:9" x14ac:dyDescent="0.15">
      <c r="A31" s="67" t="s">
        <v>87</v>
      </c>
      <c r="B31" s="55"/>
      <c r="C31" s="79" t="s">
        <v>88</v>
      </c>
      <c r="D31" s="73"/>
      <c r="E31" s="73"/>
      <c r="F31" s="73"/>
      <c r="G31" s="73"/>
      <c r="H31" s="73"/>
      <c r="I31" s="73"/>
    </row>
    <row r="32" spans="1:9" x14ac:dyDescent="0.15">
      <c r="A32" s="67"/>
      <c r="B32" s="67"/>
      <c r="C32" s="67"/>
      <c r="D32" s="67"/>
      <c r="E32" s="67"/>
      <c r="F32" s="67"/>
      <c r="G32" s="67"/>
      <c r="H32" s="67"/>
      <c r="I32" s="67"/>
    </row>
    <row r="33" spans="1:9" x14ac:dyDescent="0.15">
      <c r="A33" s="67" t="s">
        <v>89</v>
      </c>
      <c r="B33" s="55"/>
      <c r="C33" s="79" t="s">
        <v>90</v>
      </c>
      <c r="D33" s="73"/>
      <c r="E33" s="73"/>
      <c r="F33" s="73"/>
      <c r="G33" s="73"/>
      <c r="H33" s="73"/>
      <c r="I33" s="73"/>
    </row>
    <row r="34" spans="1:9" x14ac:dyDescent="0.15">
      <c r="A34" s="67" t="s">
        <v>91</v>
      </c>
      <c r="B34" s="55"/>
      <c r="C34" s="79" t="s">
        <v>92</v>
      </c>
      <c r="D34" s="73"/>
      <c r="E34" s="73"/>
      <c r="F34" s="73"/>
      <c r="G34" s="73"/>
      <c r="H34" s="73"/>
      <c r="I34" s="73"/>
    </row>
    <row r="35" spans="1:9" x14ac:dyDescent="0.15">
      <c r="A35" s="67"/>
      <c r="B35" s="55"/>
      <c r="C35" s="79" t="s">
        <v>93</v>
      </c>
      <c r="D35" s="73"/>
      <c r="E35" s="73"/>
      <c r="F35" s="73"/>
      <c r="G35" s="73"/>
      <c r="H35" s="73"/>
      <c r="I35" s="73"/>
    </row>
    <row r="36" spans="1:9" x14ac:dyDescent="0.15">
      <c r="A36" s="67"/>
      <c r="B36" s="55"/>
      <c r="C36" s="79" t="s">
        <v>94</v>
      </c>
      <c r="D36" s="73"/>
      <c r="E36" s="73"/>
      <c r="F36" s="73"/>
      <c r="G36" s="73"/>
      <c r="H36" s="73"/>
      <c r="I36" s="73"/>
    </row>
    <row r="37" spans="1:9" x14ac:dyDescent="0.15">
      <c r="A37" s="67" t="s">
        <v>95</v>
      </c>
      <c r="B37" s="55"/>
      <c r="C37" s="79" t="s">
        <v>96</v>
      </c>
      <c r="D37" s="73"/>
      <c r="E37" s="73"/>
      <c r="F37" s="73"/>
      <c r="G37" s="73"/>
      <c r="H37" s="73"/>
      <c r="I37" s="67"/>
    </row>
    <row r="38" spans="1:9" x14ac:dyDescent="0.15">
      <c r="A38" s="67"/>
      <c r="B38" s="67"/>
      <c r="C38" s="79" t="s">
        <v>97</v>
      </c>
      <c r="D38" s="73"/>
      <c r="E38" s="73"/>
      <c r="F38" s="73"/>
      <c r="G38" s="73"/>
      <c r="H38" s="73"/>
      <c r="I38" s="67"/>
    </row>
    <row r="39" spans="1:9" x14ac:dyDescent="0.15">
      <c r="A39" s="67"/>
      <c r="B39" s="67"/>
      <c r="C39" s="79" t="s">
        <v>98</v>
      </c>
      <c r="D39" s="73"/>
      <c r="E39" s="73"/>
      <c r="F39" s="73"/>
      <c r="G39" s="73"/>
      <c r="H39" s="73"/>
      <c r="I39" s="67"/>
    </row>
    <row r="40" spans="1:9" x14ac:dyDescent="0.15">
      <c r="A40" s="67"/>
      <c r="B40" s="67"/>
      <c r="C40" s="79" t="s">
        <v>99</v>
      </c>
      <c r="D40" s="73"/>
      <c r="E40" s="73"/>
      <c r="F40" s="73"/>
      <c r="G40" s="73"/>
      <c r="H40" s="73"/>
      <c r="I40" s="67"/>
    </row>
    <row r="41" spans="1:9" x14ac:dyDescent="0.15">
      <c r="A41" s="67"/>
      <c r="B41" s="67"/>
      <c r="C41" s="79" t="s">
        <v>100</v>
      </c>
      <c r="D41" s="73"/>
      <c r="E41" s="73"/>
      <c r="F41" s="73"/>
      <c r="G41" s="73"/>
      <c r="H41" s="73"/>
      <c r="I41" s="67"/>
    </row>
    <row r="42" spans="1:9" x14ac:dyDescent="0.15">
      <c r="A42" s="67"/>
      <c r="B42" s="67"/>
      <c r="C42" s="79" t="s">
        <v>101</v>
      </c>
      <c r="D42" s="73"/>
      <c r="E42" s="73"/>
      <c r="F42" s="73"/>
      <c r="G42" s="73"/>
      <c r="H42" s="73"/>
      <c r="I42" s="67"/>
    </row>
    <row r="43" spans="1:9" x14ac:dyDescent="0.15">
      <c r="A43" s="69"/>
      <c r="B43" s="69"/>
      <c r="C43" s="69"/>
      <c r="D43" s="69"/>
      <c r="E43" s="69"/>
      <c r="F43" s="69"/>
      <c r="G43" s="69"/>
      <c r="H43" s="69"/>
      <c r="I43" s="66"/>
    </row>
    <row r="44" spans="1:9" ht="27" customHeight="1" x14ac:dyDescent="0.15">
      <c r="A44" s="67" t="s">
        <v>102</v>
      </c>
      <c r="B44" s="67"/>
      <c r="C44" s="67"/>
      <c r="D44" s="67"/>
      <c r="E44" s="67"/>
      <c r="F44" s="67"/>
      <c r="G44" s="67"/>
      <c r="H44" s="67"/>
      <c r="I44" s="66"/>
    </row>
    <row r="45" spans="1:9" x14ac:dyDescent="0.15">
      <c r="A45" s="72" t="s">
        <v>103</v>
      </c>
      <c r="B45" s="73"/>
      <c r="C45" s="73"/>
      <c r="D45" s="73"/>
      <c r="E45" s="73"/>
      <c r="F45" s="73"/>
      <c r="G45" s="73"/>
      <c r="H45" s="73"/>
      <c r="I45" s="73"/>
    </row>
    <row r="46" spans="1:9" x14ac:dyDescent="0.15">
      <c r="A46" s="86"/>
      <c r="B46" s="73"/>
      <c r="C46" s="73"/>
      <c r="D46" s="73"/>
      <c r="E46" s="73"/>
      <c r="F46" s="73"/>
      <c r="G46" s="73"/>
      <c r="H46" s="73"/>
      <c r="I46" s="66"/>
    </row>
    <row r="47" spans="1:9" x14ac:dyDescent="0.15">
      <c r="A47" s="72" t="s">
        <v>104</v>
      </c>
      <c r="B47" s="73"/>
      <c r="C47" s="73"/>
      <c r="D47" s="73"/>
      <c r="E47" s="73"/>
      <c r="F47" s="73"/>
      <c r="G47" s="73"/>
      <c r="H47" s="73"/>
      <c r="I47" s="73"/>
    </row>
    <row r="48" spans="1:9" x14ac:dyDescent="0.15">
      <c r="A48" s="86"/>
      <c r="B48" s="73"/>
      <c r="C48" s="73"/>
      <c r="D48" s="73"/>
      <c r="E48" s="73"/>
      <c r="F48" s="73"/>
      <c r="G48" s="73"/>
      <c r="H48" s="73"/>
      <c r="I48" s="66"/>
    </row>
    <row r="49" spans="1:9" x14ac:dyDescent="0.15">
      <c r="A49" s="67"/>
      <c r="B49" s="67"/>
      <c r="C49" s="67"/>
      <c r="D49" s="67"/>
      <c r="E49" s="67"/>
      <c r="F49" s="67"/>
      <c r="G49" s="67"/>
      <c r="H49" s="67"/>
      <c r="I49" s="66"/>
    </row>
    <row r="50" spans="1:9" x14ac:dyDescent="0.15">
      <c r="A50" s="72" t="s">
        <v>105</v>
      </c>
      <c r="B50" s="73"/>
      <c r="C50" s="73"/>
      <c r="D50" s="73"/>
      <c r="E50" s="73"/>
      <c r="F50" s="73"/>
      <c r="G50" s="73"/>
      <c r="H50" s="73"/>
      <c r="I50" s="66"/>
    </row>
    <row r="51" spans="1:9" x14ac:dyDescent="0.15">
      <c r="A51" s="79" t="s">
        <v>106</v>
      </c>
      <c r="B51" s="73"/>
      <c r="C51" s="73"/>
      <c r="D51" s="73"/>
      <c r="E51" s="73"/>
      <c r="F51" s="73"/>
      <c r="G51" s="73"/>
      <c r="H51" s="73"/>
      <c r="I51" s="73"/>
    </row>
    <row r="52" spans="1:9" x14ac:dyDescent="0.15">
      <c r="A52" s="55"/>
      <c r="B52" s="66"/>
      <c r="C52" s="66"/>
      <c r="D52" s="66"/>
      <c r="E52" s="66"/>
      <c r="F52" s="66"/>
      <c r="G52" s="66"/>
      <c r="H52" s="66"/>
      <c r="I52" s="66"/>
    </row>
    <row r="53" spans="1:9" x14ac:dyDescent="0.15">
      <c r="A53" s="72" t="s">
        <v>107</v>
      </c>
      <c r="B53" s="73"/>
      <c r="C53" s="73"/>
      <c r="D53" s="73"/>
      <c r="E53" s="73"/>
      <c r="F53" s="73"/>
      <c r="G53" s="73"/>
      <c r="H53" s="73"/>
      <c r="I53" s="66"/>
    </row>
    <row r="54" spans="1:9" x14ac:dyDescent="0.15">
      <c r="A54" s="72" t="s">
        <v>108</v>
      </c>
      <c r="B54" s="73"/>
      <c r="C54" s="73"/>
      <c r="D54" s="73"/>
      <c r="E54" s="73"/>
      <c r="F54" s="73"/>
      <c r="G54" s="73"/>
      <c r="H54" s="73"/>
      <c r="I54" s="66"/>
    </row>
    <row r="55" spans="1:9" x14ac:dyDescent="0.15">
      <c r="A55" s="72" t="s">
        <v>109</v>
      </c>
      <c r="B55" s="73"/>
      <c r="C55" s="73"/>
      <c r="D55" s="73"/>
      <c r="E55" s="73"/>
      <c r="F55" s="73"/>
      <c r="G55" s="73"/>
      <c r="H55" s="73"/>
      <c r="I55" s="66"/>
    </row>
    <row r="56" spans="1:9" x14ac:dyDescent="0.15">
      <c r="A56" s="72" t="s">
        <v>110</v>
      </c>
      <c r="B56" s="73"/>
      <c r="C56" s="73"/>
      <c r="D56" s="73"/>
      <c r="E56" s="73"/>
      <c r="F56" s="73"/>
      <c r="G56" s="73"/>
      <c r="H56" s="73"/>
      <c r="I56" s="66"/>
    </row>
    <row r="57" spans="1:9" x14ac:dyDescent="0.15">
      <c r="A57" s="72" t="s">
        <v>111</v>
      </c>
      <c r="B57" s="73"/>
      <c r="C57" s="73"/>
      <c r="D57" s="73"/>
      <c r="E57" s="73"/>
      <c r="F57" s="73"/>
      <c r="G57" s="73"/>
      <c r="H57" s="73"/>
      <c r="I57" s="66"/>
    </row>
    <row r="58" spans="1:9" x14ac:dyDescent="0.15">
      <c r="A58" s="72" t="s">
        <v>112</v>
      </c>
      <c r="B58" s="73"/>
      <c r="C58" s="73"/>
      <c r="D58" s="73"/>
      <c r="E58" s="73"/>
      <c r="F58" s="73"/>
      <c r="G58" s="73"/>
      <c r="H58" s="73"/>
      <c r="I58" s="66"/>
    </row>
    <row r="59" spans="1:9" x14ac:dyDescent="0.15">
      <c r="A59" s="89" t="s">
        <v>113</v>
      </c>
      <c r="B59" s="73"/>
      <c r="C59" s="73"/>
      <c r="D59" s="73"/>
      <c r="E59" s="73"/>
      <c r="F59" s="73"/>
      <c r="G59" s="73"/>
      <c r="H59" s="73"/>
      <c r="I59" s="66"/>
    </row>
    <row r="60" spans="1:9" x14ac:dyDescent="0.15">
      <c r="A60" s="67"/>
      <c r="B60" s="67"/>
      <c r="C60" s="67"/>
      <c r="D60" s="67"/>
      <c r="E60" s="67"/>
      <c r="F60" s="67"/>
      <c r="G60" s="67"/>
      <c r="H60" s="67"/>
      <c r="I60" s="66"/>
    </row>
    <row r="61" spans="1:9" x14ac:dyDescent="0.15">
      <c r="A61" s="67" t="s">
        <v>114</v>
      </c>
      <c r="B61" s="67"/>
      <c r="C61" s="67"/>
      <c r="D61" s="67"/>
      <c r="E61" s="67"/>
      <c r="F61" s="67"/>
      <c r="G61" s="67"/>
      <c r="H61" s="67"/>
      <c r="I61" s="66"/>
    </row>
    <row r="62" spans="1:9" x14ac:dyDescent="0.15">
      <c r="A62" s="87" t="s">
        <v>115</v>
      </c>
      <c r="B62" s="88"/>
      <c r="C62" s="88"/>
      <c r="D62" s="88"/>
      <c r="E62" s="88"/>
      <c r="F62" s="88"/>
      <c r="G62" s="88"/>
      <c r="H62" s="88"/>
      <c r="I62" s="88"/>
    </row>
    <row r="63" spans="1:9" ht="14.25" customHeight="1" x14ac:dyDescent="0.15">
      <c r="A63" s="49" t="s">
        <v>116</v>
      </c>
      <c r="B63" s="50"/>
      <c r="C63" s="50" t="s">
        <v>117</v>
      </c>
      <c r="D63" s="50" t="s">
        <v>118</v>
      </c>
      <c r="E63" s="50" t="s">
        <v>119</v>
      </c>
      <c r="F63" s="50" t="s">
        <v>120</v>
      </c>
      <c r="G63" s="50" t="s">
        <v>121</v>
      </c>
      <c r="H63" s="51" t="s">
        <v>122</v>
      </c>
      <c r="I63" s="51" t="s">
        <v>123</v>
      </c>
    </row>
    <row r="64" spans="1:9" ht="14.25" customHeight="1" x14ac:dyDescent="0.15">
      <c r="A64" s="78" t="s">
        <v>124</v>
      </c>
      <c r="B64" s="75"/>
      <c r="C64" s="75"/>
      <c r="D64" s="75"/>
      <c r="E64" s="75"/>
      <c r="F64" s="75"/>
      <c r="G64" s="75"/>
      <c r="H64" s="75"/>
      <c r="I64" s="76"/>
    </row>
    <row r="65" spans="1:9" x14ac:dyDescent="0.15">
      <c r="A65" s="9" t="s">
        <v>125</v>
      </c>
      <c r="B65" s="52"/>
      <c r="C65" s="52"/>
      <c r="D65" s="52"/>
      <c r="E65" s="52"/>
      <c r="F65" s="52"/>
      <c r="G65" s="52"/>
      <c r="H65" s="52"/>
      <c r="I65" s="52" t="s">
        <v>126</v>
      </c>
    </row>
    <row r="66" spans="1:9" ht="27" customHeight="1" x14ac:dyDescent="0.15">
      <c r="A66" s="9" t="s">
        <v>127</v>
      </c>
      <c r="B66" s="52"/>
      <c r="C66" s="52"/>
      <c r="D66" s="52"/>
      <c r="E66" s="52"/>
      <c r="F66" s="52"/>
      <c r="G66" s="52"/>
      <c r="H66" s="52"/>
      <c r="I66" s="52"/>
    </row>
    <row r="67" spans="1:9" ht="27" customHeight="1" x14ac:dyDescent="0.15">
      <c r="A67" s="9" t="s">
        <v>128</v>
      </c>
      <c r="B67" s="52"/>
      <c r="C67" s="52"/>
      <c r="D67" s="52"/>
      <c r="E67" s="52"/>
      <c r="F67" s="52"/>
      <c r="G67" s="52"/>
      <c r="H67" s="52"/>
      <c r="I67" s="52"/>
    </row>
    <row r="68" spans="1:9" x14ac:dyDescent="0.15">
      <c r="A68" s="9" t="s">
        <v>129</v>
      </c>
      <c r="B68" s="52"/>
      <c r="C68" s="52"/>
      <c r="D68" s="52"/>
      <c r="E68" s="52"/>
      <c r="F68" s="52"/>
      <c r="G68" s="52"/>
      <c r="H68" s="52"/>
      <c r="I68" s="52"/>
    </row>
    <row r="69" spans="1:9" ht="27" customHeight="1" x14ac:dyDescent="0.15">
      <c r="A69" s="9" t="s">
        <v>130</v>
      </c>
      <c r="B69" s="52"/>
      <c r="C69" s="52"/>
      <c r="D69" s="52"/>
      <c r="E69" s="52"/>
      <c r="F69" s="52"/>
      <c r="G69" s="52"/>
      <c r="H69" s="52"/>
      <c r="I69" s="52"/>
    </row>
    <row r="70" spans="1:9" ht="27" customHeight="1" x14ac:dyDescent="0.15">
      <c r="A70" s="9" t="s">
        <v>131</v>
      </c>
      <c r="B70" s="52"/>
      <c r="C70" s="52"/>
      <c r="D70" s="52"/>
      <c r="E70" s="52"/>
      <c r="F70" s="52"/>
      <c r="G70" s="52"/>
      <c r="H70" s="52"/>
      <c r="I70" s="52"/>
    </row>
    <row r="71" spans="1:9" x14ac:dyDescent="0.15">
      <c r="A71" s="74" t="s">
        <v>132</v>
      </c>
      <c r="B71" s="52" t="s">
        <v>133</v>
      </c>
      <c r="C71" s="52"/>
      <c r="D71" s="52"/>
      <c r="E71" s="52"/>
      <c r="F71" s="52"/>
      <c r="G71" s="52"/>
      <c r="H71" s="52"/>
      <c r="I71" s="52"/>
    </row>
    <row r="72" spans="1:9" x14ac:dyDescent="0.15">
      <c r="A72" s="90"/>
      <c r="B72" s="52" t="s">
        <v>134</v>
      </c>
      <c r="C72" s="52"/>
      <c r="D72" s="52"/>
      <c r="E72" s="52"/>
      <c r="F72" s="52"/>
      <c r="G72" s="52"/>
      <c r="H72" s="52"/>
      <c r="I72" s="52"/>
    </row>
    <row r="73" spans="1:9" x14ac:dyDescent="0.15">
      <c r="A73" s="90"/>
      <c r="B73" s="52" t="s">
        <v>135</v>
      </c>
      <c r="C73" s="52"/>
      <c r="D73" s="52"/>
      <c r="E73" s="52"/>
      <c r="F73" s="52"/>
      <c r="G73" s="52"/>
      <c r="H73" s="52"/>
      <c r="I73" s="52"/>
    </row>
    <row r="74" spans="1:9" x14ac:dyDescent="0.15">
      <c r="A74" s="91"/>
      <c r="B74" s="52" t="s">
        <v>136</v>
      </c>
      <c r="C74" s="52"/>
      <c r="D74" s="52"/>
      <c r="E74" s="52"/>
      <c r="F74" s="52"/>
      <c r="G74" s="52"/>
      <c r="H74" s="52"/>
      <c r="I74" s="52"/>
    </row>
    <row r="75" spans="1:9" x14ac:dyDescent="0.15">
      <c r="A75" s="62" t="s">
        <v>137</v>
      </c>
      <c r="B75" s="52"/>
      <c r="C75" s="52"/>
      <c r="D75" s="52"/>
      <c r="E75" s="52"/>
      <c r="F75" s="52"/>
      <c r="G75" s="52"/>
      <c r="H75" s="52"/>
      <c r="I75" s="52"/>
    </row>
    <row r="76" spans="1:9" ht="27" customHeight="1" x14ac:dyDescent="0.15">
      <c r="A76" s="9" t="s">
        <v>138</v>
      </c>
      <c r="B76" s="52"/>
      <c r="C76" s="52"/>
      <c r="D76" s="52"/>
      <c r="E76" s="52"/>
      <c r="F76" s="52"/>
      <c r="G76" s="52"/>
      <c r="H76" s="52"/>
      <c r="I76" s="52"/>
    </row>
    <row r="77" spans="1:9" ht="27" customHeight="1" x14ac:dyDescent="0.15">
      <c r="A77" s="9" t="s">
        <v>139</v>
      </c>
      <c r="B77" s="52"/>
      <c r="C77" s="52"/>
      <c r="D77" s="52"/>
      <c r="E77" s="52"/>
      <c r="F77" s="52"/>
      <c r="G77" s="52"/>
      <c r="H77" s="52"/>
      <c r="I77" s="52"/>
    </row>
    <row r="78" spans="1:9" x14ac:dyDescent="0.15">
      <c r="A78" s="9" t="s">
        <v>140</v>
      </c>
      <c r="B78" s="52"/>
      <c r="C78" s="52"/>
      <c r="D78" s="52"/>
      <c r="E78" s="52"/>
      <c r="F78" s="52"/>
      <c r="G78" s="52"/>
      <c r="H78" s="52"/>
      <c r="I78" s="52"/>
    </row>
    <row r="79" spans="1:9" ht="27" customHeight="1" x14ac:dyDescent="0.15">
      <c r="A79" s="9" t="s">
        <v>141</v>
      </c>
      <c r="B79" s="52"/>
      <c r="C79" s="52"/>
      <c r="D79" s="52"/>
      <c r="E79" s="52"/>
      <c r="F79" s="52"/>
      <c r="G79" s="52"/>
      <c r="H79" s="52"/>
      <c r="I79" s="52"/>
    </row>
    <row r="80" spans="1:9" ht="54" customHeight="1" x14ac:dyDescent="0.15">
      <c r="A80" s="9" t="s">
        <v>142</v>
      </c>
      <c r="B80" s="52"/>
      <c r="C80" s="52"/>
      <c r="D80" s="52"/>
      <c r="E80" s="52"/>
      <c r="F80" s="52"/>
      <c r="G80" s="52"/>
      <c r="H80" s="52"/>
      <c r="I80" s="52"/>
    </row>
    <row r="81" spans="1:9" x14ac:dyDescent="0.15">
      <c r="A81" s="9"/>
      <c r="B81" s="52"/>
      <c r="C81" s="52"/>
      <c r="D81" s="52"/>
      <c r="E81" s="52"/>
      <c r="F81" s="52"/>
      <c r="G81" s="52"/>
      <c r="H81" s="52"/>
      <c r="I81" s="52"/>
    </row>
    <row r="82" spans="1:9" x14ac:dyDescent="0.15">
      <c r="A82" s="9"/>
      <c r="B82" s="52"/>
      <c r="C82" s="52"/>
      <c r="D82" s="52"/>
      <c r="E82" s="52"/>
      <c r="F82" s="52"/>
      <c r="G82" s="52"/>
      <c r="H82" s="52"/>
      <c r="I82" s="52"/>
    </row>
    <row r="83" spans="1:9" x14ac:dyDescent="0.15">
      <c r="A83" s="74"/>
      <c r="B83" s="75"/>
      <c r="C83" s="75"/>
      <c r="D83" s="75"/>
      <c r="E83" s="75"/>
      <c r="F83" s="75"/>
      <c r="G83" s="75"/>
      <c r="H83" s="75"/>
      <c r="I83" s="76"/>
    </row>
    <row r="84" spans="1:9" x14ac:dyDescent="0.15">
      <c r="A84" s="74" t="s">
        <v>143</v>
      </c>
      <c r="B84" s="75"/>
      <c r="C84" s="75"/>
      <c r="D84" s="75"/>
      <c r="E84" s="75"/>
      <c r="F84" s="75"/>
      <c r="G84" s="75"/>
      <c r="H84" s="75"/>
      <c r="I84" s="76"/>
    </row>
    <row r="85" spans="1:9" x14ac:dyDescent="0.15">
      <c r="A85" s="9" t="s">
        <v>144</v>
      </c>
      <c r="B85" s="52"/>
      <c r="C85" s="52"/>
      <c r="D85" s="52"/>
      <c r="E85" s="52"/>
      <c r="F85" s="52"/>
      <c r="G85" s="52"/>
      <c r="H85" s="52"/>
      <c r="I85" s="53"/>
    </row>
    <row r="86" spans="1:9" x14ac:dyDescent="0.15">
      <c r="A86" s="9" t="s">
        <v>145</v>
      </c>
      <c r="B86" s="52"/>
      <c r="C86" s="52"/>
      <c r="D86" s="52"/>
      <c r="E86" s="52"/>
      <c r="F86" s="52"/>
      <c r="G86" s="52"/>
      <c r="H86" s="52"/>
      <c r="I86" s="53"/>
    </row>
    <row r="87" spans="1:9" x14ac:dyDescent="0.15">
      <c r="A87" s="9" t="s">
        <v>146</v>
      </c>
      <c r="B87" s="52"/>
      <c r="C87" s="52"/>
      <c r="D87" s="52"/>
      <c r="E87" s="52"/>
      <c r="F87" s="52"/>
      <c r="G87" s="52"/>
      <c r="H87" s="52"/>
      <c r="I87" s="53"/>
    </row>
    <row r="88" spans="1:9" x14ac:dyDescent="0.15">
      <c r="A88" s="9" t="s">
        <v>147</v>
      </c>
      <c r="B88" s="52"/>
      <c r="C88" s="52"/>
      <c r="D88" s="52"/>
      <c r="E88" s="52"/>
      <c r="F88" s="52"/>
      <c r="G88" s="52"/>
      <c r="H88" s="52"/>
      <c r="I88" s="53"/>
    </row>
    <row r="89" spans="1:9" x14ac:dyDescent="0.15">
      <c r="A89" s="9" t="s">
        <v>148</v>
      </c>
      <c r="B89" s="52"/>
      <c r="C89" s="52"/>
      <c r="D89" s="52"/>
      <c r="E89" s="52"/>
      <c r="F89" s="52"/>
      <c r="G89" s="52"/>
      <c r="H89" s="52"/>
      <c r="I89" s="53"/>
    </row>
    <row r="90" spans="1:9" x14ac:dyDescent="0.15">
      <c r="A90" s="9" t="s">
        <v>149</v>
      </c>
      <c r="B90" s="52"/>
      <c r="C90" s="52"/>
      <c r="D90" s="52"/>
      <c r="E90" s="52"/>
      <c r="F90" s="52"/>
      <c r="G90" s="52"/>
      <c r="H90" s="52"/>
      <c r="I90" s="53"/>
    </row>
    <row r="91" spans="1:9" x14ac:dyDescent="0.15">
      <c r="A91" s="9" t="s">
        <v>150</v>
      </c>
      <c r="B91" s="52"/>
      <c r="C91" s="52"/>
      <c r="D91" s="52"/>
      <c r="E91" s="52"/>
      <c r="F91" s="52"/>
      <c r="G91" s="52"/>
      <c r="H91" s="52"/>
      <c r="I91" s="53"/>
    </row>
    <row r="92" spans="1:9" x14ac:dyDescent="0.15">
      <c r="A92" s="9"/>
      <c r="B92" s="52"/>
      <c r="C92" s="52"/>
      <c r="D92" s="52"/>
      <c r="E92" s="52"/>
      <c r="F92" s="52"/>
      <c r="G92" s="52"/>
      <c r="H92" s="52"/>
      <c r="I92" s="53"/>
    </row>
    <row r="93" spans="1:9" x14ac:dyDescent="0.15">
      <c r="A93" s="74"/>
      <c r="B93" s="75"/>
      <c r="C93" s="75"/>
      <c r="D93" s="75"/>
      <c r="E93" s="75"/>
      <c r="F93" s="75"/>
      <c r="G93" s="75"/>
      <c r="H93" s="75"/>
      <c r="I93" s="76"/>
    </row>
    <row r="94" spans="1:9" x14ac:dyDescent="0.15">
      <c r="A94" s="74" t="s">
        <v>151</v>
      </c>
      <c r="B94" s="75"/>
      <c r="C94" s="75"/>
      <c r="D94" s="75"/>
      <c r="E94" s="75"/>
      <c r="F94" s="75"/>
      <c r="G94" s="75"/>
      <c r="H94" s="75"/>
      <c r="I94" s="76"/>
    </row>
    <row r="95" spans="1:9" x14ac:dyDescent="0.15">
      <c r="A95" s="9" t="s">
        <v>152</v>
      </c>
      <c r="B95" s="52"/>
      <c r="C95" s="52"/>
      <c r="D95" s="52"/>
      <c r="E95" s="52"/>
      <c r="F95" s="52"/>
      <c r="G95" s="52"/>
      <c r="H95" s="52"/>
      <c r="I95" s="52"/>
    </row>
    <row r="96" spans="1:9" x14ac:dyDescent="0.15">
      <c r="A96" s="9" t="s">
        <v>153</v>
      </c>
      <c r="B96" s="52"/>
      <c r="C96" s="52"/>
      <c r="D96" s="52"/>
      <c r="E96" s="52"/>
      <c r="F96" s="52"/>
      <c r="G96" s="52"/>
      <c r="H96" s="52"/>
      <c r="I96" s="52" t="s">
        <v>154</v>
      </c>
    </row>
    <row r="97" spans="1:9" x14ac:dyDescent="0.15">
      <c r="A97" s="9" t="s">
        <v>155</v>
      </c>
      <c r="B97" s="52"/>
      <c r="C97" s="52"/>
      <c r="D97" s="52"/>
      <c r="E97" s="52"/>
      <c r="F97" s="52"/>
      <c r="G97" s="52"/>
      <c r="H97" s="52"/>
      <c r="I97" s="52" t="s">
        <v>156</v>
      </c>
    </row>
    <row r="98" spans="1:9" x14ac:dyDescent="0.15">
      <c r="A98" s="9" t="s">
        <v>157</v>
      </c>
      <c r="B98" s="52"/>
      <c r="C98" s="52"/>
      <c r="D98" s="52"/>
      <c r="E98" s="52"/>
      <c r="F98" s="52"/>
      <c r="G98" s="52"/>
      <c r="H98" s="52"/>
      <c r="I98" s="52"/>
    </row>
    <row r="99" spans="1:9" ht="121.5" customHeight="1" x14ac:dyDescent="0.15">
      <c r="A99" s="9" t="s">
        <v>158</v>
      </c>
      <c r="B99" s="52"/>
      <c r="C99" s="52"/>
      <c r="D99" s="52"/>
      <c r="E99" s="52"/>
      <c r="F99" s="52"/>
      <c r="G99" s="52"/>
      <c r="H99" s="52"/>
      <c r="I99" s="52" t="s">
        <v>159</v>
      </c>
    </row>
    <row r="100" spans="1:9" x14ac:dyDescent="0.15">
      <c r="A100" s="74"/>
      <c r="B100" s="75"/>
      <c r="C100" s="75"/>
      <c r="D100" s="75"/>
      <c r="E100" s="75"/>
      <c r="F100" s="75"/>
      <c r="G100" s="75"/>
      <c r="H100" s="75"/>
      <c r="I100" s="76"/>
    </row>
    <row r="101" spans="1:9" x14ac:dyDescent="0.15">
      <c r="A101" s="74" t="s">
        <v>160</v>
      </c>
      <c r="B101" s="75"/>
      <c r="C101" s="75"/>
      <c r="D101" s="75"/>
      <c r="E101" s="75"/>
      <c r="F101" s="75"/>
      <c r="G101" s="75"/>
      <c r="H101" s="75"/>
      <c r="I101" s="76"/>
    </row>
    <row r="102" spans="1:9" ht="67.5" customHeight="1" x14ac:dyDescent="0.15">
      <c r="A102" s="9" t="s">
        <v>161</v>
      </c>
      <c r="B102" s="52"/>
      <c r="C102" s="52"/>
      <c r="D102" s="52"/>
      <c r="E102" s="52"/>
      <c r="F102" s="52"/>
      <c r="G102" s="52"/>
      <c r="H102" s="52"/>
      <c r="I102" s="52" t="s">
        <v>162</v>
      </c>
    </row>
    <row r="103" spans="1:9" ht="54" customHeight="1" x14ac:dyDescent="0.15">
      <c r="A103" s="9" t="s">
        <v>163</v>
      </c>
      <c r="B103" s="52"/>
      <c r="C103" s="52"/>
      <c r="D103" s="52"/>
      <c r="E103" s="52"/>
      <c r="F103" s="52"/>
      <c r="G103" s="52"/>
      <c r="H103" s="52"/>
      <c r="I103" s="52" t="s">
        <v>164</v>
      </c>
    </row>
    <row r="104" spans="1:9" x14ac:dyDescent="0.15">
      <c r="A104" s="9"/>
      <c r="B104" s="52"/>
      <c r="C104" s="52"/>
      <c r="D104" s="52"/>
      <c r="E104" s="52"/>
      <c r="F104" s="52"/>
      <c r="G104" s="52"/>
      <c r="H104" s="52"/>
      <c r="I104" s="52"/>
    </row>
    <row r="105" spans="1:9" x14ac:dyDescent="0.15">
      <c r="A105" s="74"/>
      <c r="B105" s="75"/>
      <c r="C105" s="75"/>
      <c r="D105" s="75"/>
      <c r="E105" s="75"/>
      <c r="F105" s="75"/>
      <c r="G105" s="75"/>
      <c r="H105" s="75"/>
      <c r="I105" s="76"/>
    </row>
    <row r="106" spans="1:9" x14ac:dyDescent="0.15">
      <c r="A106" s="74" t="s">
        <v>165</v>
      </c>
      <c r="B106" s="75"/>
      <c r="C106" s="75"/>
      <c r="D106" s="75"/>
      <c r="E106" s="75"/>
      <c r="F106" s="75"/>
      <c r="G106" s="75"/>
      <c r="H106" s="75"/>
      <c r="I106" s="76"/>
    </row>
    <row r="107" spans="1:9" x14ac:dyDescent="0.15">
      <c r="A107" s="9" t="s">
        <v>166</v>
      </c>
      <c r="B107" s="52"/>
      <c r="C107" s="52"/>
      <c r="D107" s="52"/>
      <c r="E107" s="52"/>
      <c r="F107" s="52"/>
      <c r="G107" s="52"/>
      <c r="H107" s="52"/>
      <c r="I107" s="52"/>
    </row>
    <row r="108" spans="1:9" x14ac:dyDescent="0.15">
      <c r="A108" s="9" t="s">
        <v>167</v>
      </c>
      <c r="B108" s="52"/>
      <c r="C108" s="52"/>
      <c r="D108" s="52"/>
      <c r="E108" s="52"/>
      <c r="F108" s="52"/>
      <c r="G108" s="52"/>
      <c r="H108" s="52"/>
      <c r="I108" s="52"/>
    </row>
    <row r="109" spans="1:9" x14ac:dyDescent="0.15">
      <c r="A109" s="20" t="s">
        <v>168</v>
      </c>
      <c r="B109" s="52"/>
      <c r="C109" s="52"/>
      <c r="D109" s="52"/>
      <c r="E109" s="52"/>
      <c r="F109" s="52"/>
      <c r="G109" s="52"/>
      <c r="H109" s="52"/>
      <c r="I109" s="52"/>
    </row>
    <row r="110" spans="1:9" ht="27" customHeight="1" x14ac:dyDescent="0.15">
      <c r="A110" s="9" t="s">
        <v>169</v>
      </c>
      <c r="B110" s="52"/>
      <c r="C110" s="52"/>
      <c r="D110" s="52"/>
      <c r="E110" s="52"/>
      <c r="F110" s="52"/>
      <c r="G110" s="52"/>
      <c r="H110" s="52"/>
      <c r="I110" s="52"/>
    </row>
    <row r="111" spans="1:9" x14ac:dyDescent="0.15">
      <c r="A111" s="9"/>
      <c r="B111" s="52"/>
      <c r="C111" s="52"/>
      <c r="D111" s="52"/>
      <c r="E111" s="52"/>
      <c r="F111" s="52"/>
      <c r="G111" s="52"/>
      <c r="H111" s="52"/>
      <c r="I111" s="52"/>
    </row>
    <row r="112" spans="1:9" x14ac:dyDescent="0.15">
      <c r="A112" s="48"/>
      <c r="B112" s="67"/>
      <c r="C112" s="67"/>
      <c r="D112" s="67"/>
      <c r="E112" s="67"/>
      <c r="F112" s="67"/>
      <c r="G112" s="67"/>
      <c r="H112" s="67"/>
      <c r="I112" s="67"/>
    </row>
    <row r="113" spans="1:9" x14ac:dyDescent="0.15">
      <c r="A113" s="67"/>
      <c r="B113" s="66"/>
      <c r="C113" s="66"/>
      <c r="D113" s="66"/>
      <c r="E113" s="66"/>
      <c r="F113" s="66"/>
      <c r="G113" s="66"/>
      <c r="H113" s="66"/>
      <c r="I113" s="66"/>
    </row>
    <row r="114" spans="1:9" x14ac:dyDescent="0.15">
      <c r="A114" s="80" t="s">
        <v>170</v>
      </c>
      <c r="B114" s="73"/>
      <c r="C114" s="73"/>
      <c r="D114" s="73"/>
      <c r="E114" s="73"/>
      <c r="F114" s="73"/>
      <c r="G114" s="73"/>
      <c r="H114" s="73"/>
      <c r="I114" s="67"/>
    </row>
    <row r="115" spans="1:9" x14ac:dyDescent="0.15">
      <c r="A115" s="67" t="s">
        <v>171</v>
      </c>
      <c r="B115" s="67"/>
      <c r="C115" s="67"/>
      <c r="D115" s="67"/>
      <c r="E115" s="67"/>
      <c r="F115" s="67"/>
      <c r="G115" s="67"/>
      <c r="H115" s="67"/>
      <c r="I115" s="67"/>
    </row>
    <row r="116" spans="1:9" x14ac:dyDescent="0.15">
      <c r="A116" s="54" t="s">
        <v>172</v>
      </c>
      <c r="B116" s="67"/>
      <c r="C116" s="67"/>
      <c r="D116" s="67"/>
      <c r="E116" s="67"/>
      <c r="F116" s="67"/>
      <c r="G116" s="67"/>
      <c r="H116" s="67"/>
      <c r="I116" s="67"/>
    </row>
    <row r="117" spans="1:9" x14ac:dyDescent="0.15">
      <c r="A117" s="92" t="s">
        <v>173</v>
      </c>
      <c r="B117" s="73"/>
      <c r="C117" s="73"/>
      <c r="D117" s="73"/>
      <c r="E117" s="73"/>
      <c r="F117" s="73"/>
      <c r="G117" s="73"/>
      <c r="H117" s="73"/>
      <c r="I117" s="73"/>
    </row>
    <row r="118" spans="1:9" x14ac:dyDescent="0.15">
      <c r="A118" s="77" t="s">
        <v>174</v>
      </c>
      <c r="B118" s="73"/>
      <c r="C118" s="73"/>
      <c r="D118" s="73"/>
      <c r="E118" s="73"/>
      <c r="F118" s="73"/>
      <c r="G118" s="73"/>
      <c r="H118" s="73"/>
      <c r="I118" s="73"/>
    </row>
    <row r="119" spans="1:9" x14ac:dyDescent="0.15">
      <c r="A119" s="77"/>
      <c r="B119" s="73"/>
      <c r="C119" s="73"/>
      <c r="D119" s="73"/>
      <c r="E119" s="73"/>
      <c r="F119" s="73"/>
      <c r="G119" s="73"/>
      <c r="H119" s="73"/>
      <c r="I119" s="73"/>
    </row>
    <row r="120" spans="1:9" x14ac:dyDescent="0.15">
      <c r="A120" s="77" t="s">
        <v>175</v>
      </c>
      <c r="B120" s="73"/>
      <c r="C120" s="73"/>
      <c r="D120" s="73"/>
      <c r="E120" s="73"/>
      <c r="F120" s="73"/>
      <c r="G120" s="73"/>
      <c r="H120" s="73"/>
      <c r="I120" s="73"/>
    </row>
    <row r="121" spans="1:9" x14ac:dyDescent="0.15">
      <c r="A121" s="77"/>
      <c r="B121" s="73"/>
      <c r="C121" s="73"/>
      <c r="D121" s="73"/>
      <c r="E121" s="73"/>
      <c r="F121" s="73"/>
      <c r="G121" s="73"/>
      <c r="H121" s="73"/>
      <c r="I121" s="73"/>
    </row>
    <row r="122" spans="1:9" x14ac:dyDescent="0.15">
      <c r="A122" s="77" t="s">
        <v>176</v>
      </c>
      <c r="B122" s="73"/>
      <c r="C122" s="73"/>
      <c r="D122" s="73"/>
      <c r="E122" s="73"/>
      <c r="F122" s="73"/>
      <c r="G122" s="73"/>
      <c r="H122" s="73"/>
      <c r="I122" s="73"/>
    </row>
    <row r="123" spans="1:9" x14ac:dyDescent="0.15">
      <c r="A123" s="77"/>
      <c r="B123" s="73"/>
      <c r="C123" s="73"/>
      <c r="D123" s="73"/>
      <c r="E123" s="73"/>
      <c r="F123" s="73"/>
      <c r="G123" s="73"/>
      <c r="H123" s="73"/>
      <c r="I123" s="73"/>
    </row>
    <row r="124" spans="1:9" x14ac:dyDescent="0.15">
      <c r="A124" s="77" t="s">
        <v>177</v>
      </c>
      <c r="B124" s="73"/>
      <c r="C124" s="73"/>
      <c r="D124" s="73"/>
      <c r="E124" s="73"/>
      <c r="F124" s="73"/>
      <c r="G124" s="73"/>
      <c r="H124" s="73"/>
      <c r="I124" s="73"/>
    </row>
    <row r="125" spans="1:9" x14ac:dyDescent="0.15">
      <c r="A125" s="66"/>
      <c r="B125" s="66"/>
      <c r="C125" s="66"/>
      <c r="D125" s="66"/>
      <c r="E125" s="66"/>
      <c r="F125" s="66"/>
      <c r="G125" s="66"/>
      <c r="H125" s="66"/>
      <c r="I125" s="66"/>
    </row>
    <row r="126" spans="1:9" x14ac:dyDescent="0.15">
      <c r="A126" s="77" t="s">
        <v>178</v>
      </c>
      <c r="B126" s="73"/>
      <c r="C126" s="73"/>
      <c r="D126" s="73"/>
      <c r="E126" s="73"/>
      <c r="F126" s="73"/>
      <c r="G126" s="73"/>
      <c r="H126" s="73"/>
      <c r="I126" s="73"/>
    </row>
    <row r="127" spans="1:9" x14ac:dyDescent="0.15">
      <c r="A127" s="77"/>
      <c r="B127" s="73"/>
      <c r="C127" s="73"/>
      <c r="D127" s="73"/>
      <c r="E127" s="73"/>
      <c r="F127" s="73"/>
      <c r="G127" s="73"/>
      <c r="H127" s="73"/>
      <c r="I127" s="73"/>
    </row>
    <row r="128" spans="1:9" x14ac:dyDescent="0.15">
      <c r="A128" s="66"/>
      <c r="B128" s="66"/>
      <c r="C128" s="66"/>
      <c r="D128" s="66"/>
      <c r="E128" s="66"/>
      <c r="F128" s="66"/>
      <c r="G128" s="66"/>
      <c r="H128" s="66"/>
      <c r="I128" s="66"/>
    </row>
  </sheetData>
  <mergeCells count="60">
    <mergeCell ref="A25:H25"/>
    <mergeCell ref="A3:H3"/>
    <mergeCell ref="A12:I12"/>
    <mergeCell ref="A14:I14"/>
    <mergeCell ref="A15:I15"/>
    <mergeCell ref="B16:H16"/>
    <mergeCell ref="A17:I17"/>
    <mergeCell ref="B18:H18"/>
    <mergeCell ref="A19:I19"/>
    <mergeCell ref="B20:H20"/>
    <mergeCell ref="A21:I21"/>
    <mergeCell ref="A22:H22"/>
    <mergeCell ref="C41:H41"/>
    <mergeCell ref="C29:I29"/>
    <mergeCell ref="C30:I30"/>
    <mergeCell ref="C31:I31"/>
    <mergeCell ref="C33:I33"/>
    <mergeCell ref="C34:I34"/>
    <mergeCell ref="C35:I35"/>
    <mergeCell ref="C36:I36"/>
    <mergeCell ref="C37:H37"/>
    <mergeCell ref="C38:H38"/>
    <mergeCell ref="C39:H39"/>
    <mergeCell ref="C40:H40"/>
    <mergeCell ref="A57:H57"/>
    <mergeCell ref="C42:H42"/>
    <mergeCell ref="A45:I45"/>
    <mergeCell ref="A46:H46"/>
    <mergeCell ref="A47:I47"/>
    <mergeCell ref="A48:H48"/>
    <mergeCell ref="A50:H50"/>
    <mergeCell ref="A51:I51"/>
    <mergeCell ref="A53:H53"/>
    <mergeCell ref="A54:H54"/>
    <mergeCell ref="A55:H55"/>
    <mergeCell ref="A56:H56"/>
    <mergeCell ref="A105:I105"/>
    <mergeCell ref="A58:H58"/>
    <mergeCell ref="A59:H59"/>
    <mergeCell ref="A62:I62"/>
    <mergeCell ref="A64:I64"/>
    <mergeCell ref="A71:A74"/>
    <mergeCell ref="A83:I83"/>
    <mergeCell ref="A84:I84"/>
    <mergeCell ref="A93:I93"/>
    <mergeCell ref="A94:I94"/>
    <mergeCell ref="A100:I100"/>
    <mergeCell ref="A101:I101"/>
    <mergeCell ref="A127:I127"/>
    <mergeCell ref="A106:I106"/>
    <mergeCell ref="A114:H114"/>
    <mergeCell ref="A117:I117"/>
    <mergeCell ref="A118:I118"/>
    <mergeCell ref="A119:I119"/>
    <mergeCell ref="A120:I120"/>
    <mergeCell ref="A121:I121"/>
    <mergeCell ref="A122:I122"/>
    <mergeCell ref="A123:I123"/>
    <mergeCell ref="A124:I124"/>
    <mergeCell ref="A126:I126"/>
  </mergeCells>
  <phoneticPr fontId="1" type="noConversion"/>
  <dataValidations count="10">
    <dataValidation type="list" showInputMessage="1" showErrorMessage="1" sqref="A20">
      <formula1>"红海,蓝海"</formula1>
    </dataValidation>
    <dataValidation type="list" showInputMessage="1" showErrorMessage="1" sqref="A18">
      <formula1>"成长,萎缩,,"</formula1>
    </dataValidation>
    <dataValidation type="list" showInputMessage="1" showErrorMessage="1" sqref="B37">
      <formula1>"妖怪型,老母鸭型,现金奶牛，其他型排除"</formula1>
    </dataValidation>
    <dataValidation type="list" showInputMessage="1" showErrorMessage="1" sqref="B29:B31 B33:B36">
      <formula1>"是,否"</formula1>
    </dataValidation>
    <dataValidation type="list" showInputMessage="1" showErrorMessage="1" sqref="A16">
      <formula1>"2B,2C"</formula1>
    </dataValidation>
    <dataValidation type="list" showInputMessage="1" showErrorMessage="1" sqref="B10">
      <formula1>"电子,计算机,电气设备,通信"</formula1>
    </dataValidation>
    <dataValidation type="list" showInputMessage="1" showErrorMessage="1" sqref="B9">
      <formula1>"采掘,化工,钢铁,有色,房地产,机器设备,建筑装饰,交通运输"</formula1>
    </dataValidation>
    <dataValidation type="list" showInputMessage="1" showErrorMessage="1" sqref="B7">
      <formula1>"银行,非银金融,公共事业"</formula1>
    </dataValidation>
    <dataValidation type="list" showInputMessage="1" showErrorMessage="1" sqref="B6">
      <formula1>"家用电器,食品饮料,纺织服装,医药生物,休闲服务,传媒,汽车, "</formula1>
    </dataValidation>
    <dataValidation type="list" showInputMessage="1" showErrorMessage="1" sqref="A52">
      <formula1>"缓慢增长,高速增长,稳定增长,周期类,困难反正类,隐藏资产类"</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4" workbookViewId="0">
      <selection activeCell="I14" sqref="I14"/>
    </sheetView>
  </sheetViews>
  <sheetFormatPr defaultRowHeight="13.5" x14ac:dyDescent="0.15"/>
  <sheetData/>
  <phoneticPr fontId="1" type="noConversion"/>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统计</vt:lpstr>
      <vt:lpstr>股票分析模板</vt:lpstr>
      <vt:lpstr>涪陵榨菜002507</vt:lpstr>
      <vt:lpstr>大华股份002236</vt:lpstr>
      <vt:lpstr>宁波银行002142</vt:lpstr>
      <vt:lpstr>分众传媒002027</vt:lpstr>
      <vt:lpstr>计划</vt:lpstr>
      <vt:lpstr>华宝油气网格</vt:lpstr>
      <vt:lpstr>Sheet2</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郭斌</cp:lastModifiedBy>
  <dcterms:created xsi:type="dcterms:W3CDTF">2006-09-16T00:00:00Z</dcterms:created>
  <dcterms:modified xsi:type="dcterms:W3CDTF">2020-02-20T01:47:42Z</dcterms:modified>
</cp:coreProperties>
</file>